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lance_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timesnewroman"/>
      <sz val="11.0"/>
      <b val="true"/>
    </font>
    <font>
      <name val="timesnewroman"/>
      <sz val="11.0"/>
      <b val="true"/>
      <color rgb="FF0000"/>
    </font>
    <font>
      <name val="arial"/>
      <sz val="11.0"/>
      <color rgb="FFFFFF"/>
    </font>
    <font>
      <name val="arial"/>
      <sz val="12.0"/>
      <color rgb="000000"/>
      <b val="true"/>
    </font>
    <font>
      <name val="arial"/>
      <sz val="11.0"/>
      <color rgb="FFFFFF"/>
    </font>
    <font>
      <name val="arial"/>
      <sz val="11.0"/>
      <color rgb="FFFFFF"/>
      <b val="true"/>
    </font>
    <font>
      <name val="arial"/>
      <sz val="11.0"/>
      <color rgb="000000"/>
    </font>
    <font>
      <name val="arial"/>
      <sz val="11.0"/>
      <color rgb="31859C"/>
    </font>
  </fonts>
  <fills count="19">
    <fill>
      <patternFill patternType="none"/>
    </fill>
    <fill>
      <patternFill patternType="darkGray"/>
    </fill>
    <fill>
      <patternFill patternType="solid"/>
    </fill>
    <fill>
      <patternFill patternType="solid">
        <fgColor rgb="F5F5F5"/>
      </patternFill>
    </fill>
    <fill>
      <patternFill patternType="solid">
        <fgColor rgb="FF0000"/>
      </patternFill>
    </fill>
    <fill>
      <patternFill patternType="none">
        <fgColor rgb="F5F5F5"/>
      </patternFill>
    </fill>
    <fill>
      <patternFill patternType="none">
        <fgColor rgb="468847"/>
      </patternFill>
    </fill>
    <fill>
      <patternFill patternType="solid">
        <fgColor rgb="468847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FF6B5"/>
      </patternFill>
    </fill>
    <fill>
      <patternFill patternType="solid">
        <fgColor rgb="FFF6B5"/>
      </patternFill>
    </fill>
    <fill>
      <patternFill patternType="none">
        <fgColor rgb="2D373C"/>
      </patternFill>
    </fill>
    <fill>
      <patternFill patternType="solid">
        <fgColor rgb="2D373C"/>
      </patternFill>
    </fill>
    <fill>
      <patternFill patternType="none">
        <fgColor rgb="F7CBAF"/>
      </patternFill>
    </fill>
    <fill>
      <patternFill patternType="solid">
        <fgColor rgb="F7CBAF"/>
      </patternFill>
    </fill>
    <fill>
      <patternFill patternType="none">
        <fgColor rgb="1072BD"/>
      </patternFill>
    </fill>
    <fill>
      <patternFill patternType="solid">
        <fgColor rgb="1072BD"/>
      </patternFill>
    </fill>
    <fill>
      <patternFill patternType="none">
        <fgColor rgb="FF0000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D5D5D5"/>
      </bottom>
    </border>
    <border>
      <left style="thin"/>
      <right style="thin"/>
      <top style="thin">
        <color rgb="D5D5D5"/>
      </top>
      <bottom style="thin">
        <color rgb="D5D5D5"/>
      </bottom>
    </border>
    <border>
      <left style="thin">
        <color rgb="D5D5D5"/>
      </left>
      <right style="thin"/>
      <top style="thin">
        <color rgb="D5D5D5"/>
      </top>
      <bottom style="thin">
        <color rgb="D5D5D5"/>
      </bottom>
    </border>
    <border>
      <left style="thin">
        <color rgb="D5D5D5"/>
      </left>
      <right style="thin">
        <color rgb="D5D5D5"/>
      </right>
      <top style="thin">
        <color rgb="D5D5D5"/>
      </top>
      <bottom style="thin">
        <color rgb="D5D5D5"/>
      </bottom>
    </border>
  </borders>
  <cellStyleXfs count="1">
    <xf numFmtId="0" fontId="0" fillId="0" borderId="0"/>
  </cellStyleXfs>
  <cellXfs count="40">
    <xf numFmtId="0" fontId="0" fillId="0" borderId="0" xfId="0"/>
    <xf numFmtId="0" fontId="1" fillId="3" borderId="8" xfId="0" applyFont="true" applyFill="true" applyBorder="true"/>
    <xf numFmtId="0" fontId="1" fillId="0" borderId="0" xfId="0" applyFont="true"/>
    <xf numFmtId="0" fontId="1" fillId="4" borderId="0" xfId="0" applyFill="true" applyFont="true"/>
    <xf numFmtId="0" fontId="4" fillId="3" borderId="8" xfId="0" applyFont="true" applyFill="true" applyBorder="true" applyAlignment="true">
      <alignment horizontal="right" vertical="bottom"/>
    </xf>
    <xf numFmtId="0" fontId="7" fillId="7" borderId="8" xfId="0" applyFont="true" applyFill="true" applyBorder="true" applyAlignment="true">
      <alignment horizontal="right" vertical="bottom"/>
    </xf>
    <xf numFmtId="0" fontId="7" fillId="9" borderId="8" xfId="0" applyFont="true" applyFill="true" applyBorder="true" applyAlignment="true">
      <alignment horizontal="left" vertical="bottom"/>
    </xf>
    <xf numFmtId="0" fontId="7" fillId="11" borderId="8" xfId="0" applyFont="true" applyFill="true" applyBorder="true" applyAlignment="true">
      <alignment horizontal="right" vertical="bottom"/>
    </xf>
    <xf numFmtId="0" fontId="7" fillId="9" borderId="8" xfId="0" applyFont="true" applyFill="true" applyBorder="true" applyAlignment="true">
      <alignment horizontal="center" vertical="bottom"/>
    </xf>
    <xf numFmtId="0" fontId="4" fillId="9" borderId="8" xfId="0" applyFont="true" applyFill="true" applyBorder="true" applyAlignment="true">
      <alignment horizontal="center" vertical="bottom"/>
    </xf>
    <xf numFmtId="0" fontId="7" fillId="9" borderId="8" xfId="0" applyFont="true" applyFill="true" applyBorder="true" applyAlignment="true">
      <alignment horizontal="right" vertical="bottom"/>
    </xf>
    <xf numFmtId="0" fontId="7" fillId="11" borderId="8" xfId="0" applyFont="true" applyFill="true" applyBorder="true" applyAlignment="true">
      <alignment horizontal="center" vertical="bottom"/>
    </xf>
    <xf numFmtId="0" fontId="5" fillId="13" borderId="8" xfId="0" applyFont="true" applyFill="true" applyBorder="true" applyAlignment="true">
      <alignment horizontal="center" vertical="center"/>
    </xf>
    <xf numFmtId="0" fontId="7" fillId="3" borderId="8" xfId="0" applyFont="true" applyFill="true" applyBorder="true" applyAlignment="true">
      <alignment horizontal="left" vertical="bottom"/>
    </xf>
    <xf numFmtId="0" fontId="4" fillId="3" borderId="8" xfId="0" applyFont="true" applyFill="true" applyBorder="true" applyAlignment="true">
      <alignment horizontal="left" vertical="bottom"/>
    </xf>
    <xf numFmtId="0" fontId="4" fillId="3" borderId="8" xfId="0" applyFont="true" applyFill="true" applyBorder="true" applyAlignment="true">
      <alignment horizontal="center" vertical="bottom"/>
    </xf>
    <xf numFmtId="0" fontId="7" fillId="15" borderId="8" xfId="0" applyFont="true" applyFill="true" applyBorder="true" applyAlignment="true">
      <alignment horizontal="right" vertical="bottom"/>
    </xf>
    <xf numFmtId="0" fontId="4" fillId="3" borderId="8" xfId="0" applyFont="true" applyFill="true" applyBorder="true" applyAlignment="true">
      <alignment horizontal="center" vertical="bottom"/>
    </xf>
    <xf numFmtId="0" fontId="7" fillId="11" borderId="8" xfId="0" applyFont="true" applyFill="true" applyBorder="true" applyAlignment="true">
      <alignment horizontal="left" vertical="bottom"/>
    </xf>
    <xf numFmtId="0" fontId="5" fillId="13" borderId="8" xfId="0" applyFont="true" applyFill="true" applyBorder="true" applyAlignment="true">
      <alignment horizontal="left" vertical="center"/>
    </xf>
    <xf numFmtId="0" fontId="6" fillId="17" borderId="8" xfId="0" applyFont="true" applyFill="true" applyBorder="true" applyAlignment="true">
      <alignment horizontal="right" vertical="bottom"/>
    </xf>
    <xf numFmtId="0" fontId="6" fillId="17" borderId="8" xfId="0" applyFont="true" applyFill="true" applyBorder="true" applyAlignment="true">
      <alignment horizontal="left" vertical="bottom"/>
    </xf>
    <xf numFmtId="0" fontId="5" fillId="13" borderId="8" xfId="0" applyFont="true" applyFill="true" applyBorder="true" applyAlignment="true">
      <alignment horizontal="right" vertical="center"/>
    </xf>
    <xf numFmtId="0" fontId="7" fillId="15" borderId="8" xfId="0" applyFont="true" applyFill="true" applyBorder="true" applyAlignment="true">
      <alignment horizontal="center" vertical="bottom"/>
    </xf>
    <xf numFmtId="0" fontId="7" fillId="3" borderId="8" xfId="0" applyFont="true" applyFill="true" applyBorder="true" applyAlignment="true">
      <alignment horizontal="left" vertical="bottom"/>
    </xf>
    <xf numFmtId="0" fontId="4" fillId="3" borderId="8" xfId="0" applyFont="true" applyFill="true" applyBorder="true" applyAlignment="true">
      <alignment horizontal="left" vertical="bottom"/>
    </xf>
    <xf numFmtId="0" fontId="7" fillId="4" borderId="8" xfId="0" applyFont="true" applyFill="true" applyBorder="true" applyAlignment="true">
      <alignment horizontal="right" vertical="bottom"/>
    </xf>
    <xf numFmtId="0" fontId="7" fillId="4" borderId="8" xfId="0" applyFont="true" applyFill="true" applyBorder="true" applyAlignment="true">
      <alignment horizontal="center" vertical="bottom"/>
    </xf>
    <xf numFmtId="0" fontId="7" fillId="15" borderId="8" xfId="0" applyFont="true" applyFill="true" applyBorder="true" applyAlignment="true">
      <alignment horizontal="left" vertical="bottom"/>
    </xf>
    <xf numFmtId="0" fontId="4" fillId="9" borderId="8" xfId="0" applyFont="true" applyFill="true" applyBorder="true" applyAlignment="true">
      <alignment horizontal="left" vertical="bottom"/>
    </xf>
    <xf numFmtId="0" fontId="7" fillId="3" borderId="8" xfId="0" applyFont="true" applyFill="true" applyBorder="true" applyAlignment="true">
      <alignment horizontal="right" vertical="bottom"/>
    </xf>
    <xf numFmtId="0" fontId="7" fillId="7" borderId="8" xfId="0" applyFont="true" applyFill="true" applyBorder="true" applyAlignment="true">
      <alignment horizontal="left" vertical="bottom"/>
    </xf>
    <xf numFmtId="0" fontId="7" fillId="7" borderId="8" xfId="0" applyFont="true" applyFill="true" applyBorder="true" applyAlignment="true">
      <alignment horizontal="center" vertical="bottom"/>
    </xf>
    <xf numFmtId="0" fontId="7" fillId="3" borderId="8" xfId="0" applyFont="true" applyFill="true" applyBorder="true" applyAlignment="true">
      <alignment horizontal="center" vertical="bottom"/>
    </xf>
    <xf numFmtId="0" fontId="7" fillId="4" borderId="8" xfId="0" applyFont="true" applyFill="true" applyBorder="true" applyAlignment="true">
      <alignment horizontal="left" vertical="bottom"/>
    </xf>
    <xf numFmtId="0" fontId="4" fillId="3" borderId="8" xfId="0" applyFont="true" applyFill="true" applyBorder="true" applyAlignment="true">
      <alignment horizontal="right" vertical="bottom"/>
    </xf>
    <xf numFmtId="0" fontId="4" fillId="9" borderId="8" xfId="0" applyFont="true" applyFill="true" applyBorder="true" applyAlignment="true">
      <alignment horizontal="right" vertical="bottom"/>
    </xf>
    <xf numFmtId="0" fontId="6" fillId="17" borderId="8" xfId="0" applyFont="true" applyFill="true" applyBorder="true" applyAlignment="true">
      <alignment horizontal="center" vertical="bottom"/>
    </xf>
    <xf numFmtId="0" fontId="7" fillId="3" borderId="8" xfId="0" applyFont="true" applyFill="true" applyBorder="true" applyAlignment="true">
      <alignment horizontal="right" vertical="bottom"/>
    </xf>
    <xf numFmtId="0" fontId="7" fillId="3" borderId="8" xfId="0" applyFont="true" applyFill="true" applyBorder="true" applyAlignment="true">
      <alignment horizontal="center" vertical="bottom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2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</cols>
  <sheetData>
    <row r="1" customHeight="true" ht="70.0">
      <c r="A1" s="12" t="inlineStr">
        <is>
          <t>InovaFlow
            Balance Sheet
            Basis: Accrual
                        As of 30 Oct 2024</t>
        </is>
      </c>
    </row>
    <row r="2">
      <c r="A2" s="13" t="inlineStr">
        <is>
          <t xml:space="preserve">Account </t>
        </is>
      </c>
      <c r="B2" s="13" t="inlineStr">
        <is>
          <t xml:space="preserve">Account Code </t>
        </is>
      </c>
      <c r="C2" s="30" t="inlineStr">
        <is>
          <t xml:space="preserve">Total </t>
        </is>
      </c>
    </row>
    <row r="4">
      <c r="A4" s="6" t="inlineStr">
        <is>
          <t>Assets</t>
        </is>
      </c>
      <c r="B4" s="6" t="inlineStr">
        <is>
          <t/>
        </is>
      </c>
      <c r="C4" t="inlineStr">
        <is>
          <t/>
        </is>
      </c>
    </row>
    <row r="5">
      <c r="A5" s="6" t="inlineStr">
        <is>
          <t xml:space="preserve">          Current Assets</t>
        </is>
      </c>
      <c r="B5" s="6" t="inlineStr">
        <is>
          <t/>
        </is>
      </c>
      <c r="C5" t="inlineStr">
        <is>
          <t/>
        </is>
      </c>
    </row>
    <row r="6">
      <c r="A6" s="6" t="inlineStr">
        <is>
          <t xml:space="preserve">                    Cash</t>
        </is>
      </c>
      <c r="B6" s="6" t="inlineStr">
        <is>
          <t/>
        </is>
      </c>
      <c r="C6" t="inlineStr">
        <is>
          <t/>
        </is>
      </c>
    </row>
    <row r="7">
      <c r="A7" s="6" t="inlineStr">
        <is>
          <t xml:space="preserve">                              P1101-Petty Cash</t>
        </is>
      </c>
      <c r="B7" s="6" t="inlineStr">
        <is>
          <t>P1101</t>
        </is>
      </c>
      <c r="C7" s="10" t="n">
        <v>0.0</v>
      </c>
    </row>
    <row r="8">
      <c r="A8" s="6" t="inlineStr">
        <is>
          <t xml:space="preserve">                              P1102-Undeposited Funds</t>
        </is>
      </c>
      <c r="B8" s="6" t="inlineStr">
        <is>
          <t>P1102</t>
        </is>
      </c>
      <c r="C8" s="10" t="n">
        <v>178.42</v>
      </c>
    </row>
    <row r="9">
      <c r="A9" s="25" t="inlineStr">
        <is>
          <t xml:space="preserve">                    Total for Cash</t>
        </is>
      </c>
      <c r="B9" t="inlineStr">
        <is>
          <t/>
        </is>
      </c>
      <c r="C9" s="4" t="n">
        <f>(+(C7)+(C8))</f>
        <v>0.0</v>
      </c>
    </row>
    <row r="11">
      <c r="A11" s="6" t="inlineStr">
        <is>
          <t xml:space="preserve">                    Bank</t>
        </is>
      </c>
      <c r="B11" s="6" t="inlineStr">
        <is>
          <t/>
        </is>
      </c>
      <c r="C11" t="inlineStr">
        <is>
          <t/>
        </is>
      </c>
    </row>
    <row r="12">
      <c r="A12" s="6" t="inlineStr">
        <is>
          <t xml:space="preserve">                              1104-SRV1</t>
        </is>
      </c>
      <c r="B12" s="6" t="inlineStr">
        <is>
          <t>1104</t>
        </is>
      </c>
      <c r="C12" s="10" t="n">
        <v>0.0</v>
      </c>
    </row>
    <row r="13">
      <c r="A13" s="6" t="inlineStr">
        <is>
          <t xml:space="preserve">                              P1103-AutoSave</t>
        </is>
      </c>
      <c r="B13" s="6" t="inlineStr">
        <is>
          <t>P1103</t>
        </is>
      </c>
      <c r="C13" s="10" t="n">
        <v>0.0</v>
      </c>
    </row>
    <row r="14">
      <c r="A14" s="6" t="inlineStr">
        <is>
          <t xml:space="preserve">                              P1103.1-SoFi Savings</t>
        </is>
      </c>
      <c r="B14" s="6" t="inlineStr">
        <is>
          <t>P1103.1</t>
        </is>
      </c>
      <c r="C14" s="10" t="n">
        <v>0.0</v>
      </c>
    </row>
    <row r="15">
      <c r="A15" s="6" t="inlineStr">
        <is>
          <t xml:space="preserve">                              P1103.2-SoFi Checking</t>
        </is>
      </c>
      <c r="B15" s="6" t="inlineStr">
        <is>
          <t>P1103.2</t>
        </is>
      </c>
      <c r="C15" s="10" t="n">
        <v>0.0</v>
      </c>
    </row>
    <row r="16">
      <c r="A16" s="6" t="inlineStr">
        <is>
          <t xml:space="preserve">                              P1103.3-SoFi Savings</t>
        </is>
      </c>
      <c r="B16" s="6" t="inlineStr">
        <is>
          <t>P1103.3</t>
        </is>
      </c>
      <c r="C16" s="10" t="n">
        <v>0.0</v>
      </c>
    </row>
    <row r="17">
      <c r="A17" s="6" t="inlineStr">
        <is>
          <t xml:space="preserve">                              P1103.4-SoFi Checking</t>
        </is>
      </c>
      <c r="B17" s="6" t="inlineStr">
        <is>
          <t>P1103.4</t>
        </is>
      </c>
      <c r="C17" s="10" t="n">
        <v>0.83</v>
      </c>
    </row>
    <row r="18">
      <c r="A18" s="6" t="inlineStr">
        <is>
          <t xml:space="preserve">                              P1103.5-Spend everyday spending</t>
        </is>
      </c>
      <c r="B18" s="6" t="inlineStr">
        <is>
          <t>P1103.5</t>
        </is>
      </c>
      <c r="C18" s="10" t="n">
        <v>138.75</v>
      </c>
    </row>
    <row r="19">
      <c r="A19" s="25" t="inlineStr">
        <is>
          <t xml:space="preserve">                    Total for Bank</t>
        </is>
      </c>
      <c r="B19" t="inlineStr">
        <is>
          <t/>
        </is>
      </c>
      <c r="C19" s="4" t="n">
        <f>(+(C12)+(C13)+(C14)+(C15)+(C16)+(C17)+(C18))</f>
        <v>0.0</v>
      </c>
    </row>
    <row r="21">
      <c r="A21" s="6" t="inlineStr">
        <is>
          <t xml:space="preserve">                              P1300-Accounts Receivable</t>
        </is>
      </c>
      <c r="B21" s="6" t="inlineStr">
        <is>
          <t>P1300</t>
        </is>
      </c>
      <c r="C21" s="10" t="n">
        <v>5959.46</v>
      </c>
    </row>
    <row r="22">
      <c r="A22" s="6" t="inlineStr">
        <is>
          <t xml:space="preserve">                    Other current assets</t>
        </is>
      </c>
      <c r="B22" s="6" t="inlineStr">
        <is>
          <t/>
        </is>
      </c>
      <c r="C22" t="inlineStr">
        <is>
          <t/>
        </is>
      </c>
    </row>
    <row r="23">
      <c r="A23" s="6" t="inlineStr">
        <is>
          <t xml:space="preserve">                              1200-Inventory Asset</t>
        </is>
      </c>
      <c r="B23" s="6" t="inlineStr">
        <is>
          <t>1200</t>
        </is>
      </c>
      <c r="C23" s="10" t="n">
        <v>0.0</v>
      </c>
    </row>
    <row r="24">
      <c r="A24" s="6" t="inlineStr">
        <is>
          <t xml:space="preserve">                              1402-Employee Advance</t>
        </is>
      </c>
      <c r="B24" s="6" t="inlineStr">
        <is>
          <t>1402</t>
        </is>
      </c>
      <c r="C24" s="10" t="n">
        <v>0.0</v>
      </c>
    </row>
    <row r="25">
      <c r="A25" s="6" t="inlineStr">
        <is>
          <t xml:space="preserve">                              P1100-Other Current Assets (Personal)</t>
        </is>
      </c>
      <c r="B25" s="6" t="inlineStr">
        <is>
          <t>P1100</t>
        </is>
      </c>
      <c r="C25" s="10" t="n">
        <v>0.0</v>
      </c>
    </row>
    <row r="26">
      <c r="A26" s="6" t="inlineStr">
        <is>
          <t xml:space="preserve">                                        P1400-Prepaid Expenses</t>
        </is>
      </c>
      <c r="B26" s="6" t="inlineStr">
        <is>
          <t>P1400</t>
        </is>
      </c>
      <c r="C26" s="10" t="n">
        <v>244.09</v>
      </c>
    </row>
    <row r="27">
      <c r="A27" s="6" t="inlineStr">
        <is>
          <t xml:space="preserve">                                        P1401-Advance Tax</t>
        </is>
      </c>
      <c r="B27" s="6" t="inlineStr">
        <is>
          <t>P1401</t>
        </is>
      </c>
      <c r="C27" s="10" t="n">
        <v>0.0</v>
      </c>
    </row>
    <row r="28">
      <c r="A28" s="6" t="inlineStr">
        <is>
          <t xml:space="preserve">                                        P1500-SRV Drawing Account</t>
        </is>
      </c>
      <c r="B28" s="6" t="inlineStr">
        <is>
          <t>P1500</t>
        </is>
      </c>
      <c r="C28" s="10" t="n">
        <v>-1455.99</v>
      </c>
    </row>
    <row r="29">
      <c r="A29" s="6" t="inlineStr">
        <is>
          <t xml:space="preserve">                                        P9999-Loan Mart Title Loan Payable</t>
        </is>
      </c>
      <c r="B29" s="6" t="inlineStr">
        <is>
          <t>P9999.00</t>
        </is>
      </c>
      <c r="C29" s="10" t="n">
        <v>0.0</v>
      </c>
    </row>
    <row r="30">
      <c r="A30" s="25" t="inlineStr">
        <is>
          <t xml:space="preserve">                              Total for P1100-Other Current Assets (Personal)</t>
        </is>
      </c>
      <c r="B30" t="inlineStr">
        <is>
          <t>P1100</t>
        </is>
      </c>
      <c r="C30" s="4" t="n">
        <f>(+(C25)+(C26)+(C27)+(C28)+(C29))</f>
        <v>0.0</v>
      </c>
    </row>
    <row r="32">
      <c r="A32" s="6" t="inlineStr">
        <is>
          <t xml:space="preserve">                              Personal Loans Out</t>
        </is>
      </c>
      <c r="B32" s="6" t="inlineStr">
        <is>
          <t/>
        </is>
      </c>
      <c r="C32" s="10" t="n">
        <v>0.0</v>
      </c>
    </row>
    <row r="33">
      <c r="A33" s="6" t="inlineStr">
        <is>
          <t xml:space="preserve">                                        PLoans Zai</t>
        </is>
      </c>
      <c r="B33" s="6" t="inlineStr">
        <is>
          <t/>
        </is>
      </c>
      <c r="C33" s="10" t="n">
        <v>71.0</v>
      </c>
    </row>
    <row r="34">
      <c r="A34" s="25" t="inlineStr">
        <is>
          <t xml:space="preserve">                              Total for Personal Loans Out</t>
        </is>
      </c>
      <c r="B34" t="inlineStr">
        <is>
          <t/>
        </is>
      </c>
      <c r="C34" s="4" t="n">
        <f>(+(C32)+(C33))</f>
        <v>0.0</v>
      </c>
    </row>
    <row r="36">
      <c r="A36" s="25" t="inlineStr">
        <is>
          <t xml:space="preserve">                    Total for Other current assets</t>
        </is>
      </c>
      <c r="B36" t="inlineStr">
        <is>
          <t/>
        </is>
      </c>
      <c r="C36" s="4" t="n">
        <f>(+(C23)+(C24)+(C30)+(C34))</f>
        <v>0.0</v>
      </c>
    </row>
    <row r="38">
      <c r="A38" s="6" t="inlineStr">
        <is>
          <t xml:space="preserve">                    Square Cash Sales</t>
        </is>
      </c>
      <c r="B38" s="6" t="inlineStr">
        <is>
          <t/>
        </is>
      </c>
      <c r="C38" s="10" t="n">
        <v>0.0</v>
      </c>
    </row>
    <row r="39">
      <c r="A39" s="6" t="inlineStr">
        <is>
          <t xml:space="preserve">                    Square Clearing</t>
        </is>
      </c>
      <c r="B39" s="6" t="inlineStr">
        <is>
          <t/>
        </is>
      </c>
      <c r="C39" s="10" t="n">
        <v>0.0</v>
      </c>
    </row>
    <row r="40">
      <c r="A40" s="25" t="inlineStr">
        <is>
          <t xml:space="preserve">          Total for Current Assets</t>
        </is>
      </c>
      <c r="B40" t="inlineStr">
        <is>
          <t/>
        </is>
      </c>
      <c r="C40" s="4" t="n">
        <f>(+(C9)+(C19)+(C21)+(C36)+(C38)+(C39))</f>
        <v>0.0</v>
      </c>
    </row>
    <row r="42">
      <c r="A42" s="6" t="inlineStr">
        <is>
          <t xml:space="preserve">          Other Assets</t>
        </is>
      </c>
      <c r="B42" s="6" t="inlineStr">
        <is>
          <t/>
        </is>
      </c>
      <c r="C42" t="inlineStr">
        <is>
          <t/>
        </is>
      </c>
    </row>
    <row r="43">
      <c r="A43" s="6" t="inlineStr">
        <is>
          <t xml:space="preserve">                    1250-Accounts in Collection</t>
        </is>
      </c>
      <c r="B43" s="6" t="inlineStr">
        <is>
          <t>1250</t>
        </is>
      </c>
      <c r="C43" s="10" t="n">
        <v>0.0</v>
      </c>
    </row>
    <row r="44">
      <c r="A44" s="6" t="inlineStr">
        <is>
          <t xml:space="preserve">                              1251- E. Enghamallah</t>
        </is>
      </c>
      <c r="B44" s="6" t="inlineStr">
        <is>
          <t>1251</t>
        </is>
      </c>
      <c r="C44" s="10" t="n">
        <v>691.54</v>
      </c>
    </row>
    <row r="45">
      <c r="A45" s="25" t="inlineStr">
        <is>
          <t xml:space="preserve">                    Total for 1250-Accounts in Collection</t>
        </is>
      </c>
      <c r="B45" t="inlineStr">
        <is>
          <t>1250</t>
        </is>
      </c>
      <c r="C45" s="4" t="n">
        <f>(+(C43)+(C44))</f>
        <v>0.0</v>
      </c>
    </row>
    <row r="47">
      <c r="A47" s="6" t="inlineStr">
        <is>
          <t xml:space="preserve">                    P1990-Other Assets (Personal)</t>
        </is>
      </c>
      <c r="B47" s="6" t="inlineStr">
        <is>
          <t>P1990</t>
        </is>
      </c>
      <c r="C47" s="10" t="n">
        <v>0.0</v>
      </c>
    </row>
    <row r="48">
      <c r="A48" s="6" t="inlineStr">
        <is>
          <t xml:space="preserve">                              P1991-Insurance Proceeds Receivable (Asset)</t>
        </is>
      </c>
      <c r="B48" s="6" t="inlineStr">
        <is>
          <t>P1991</t>
        </is>
      </c>
      <c r="C48" s="10" t="n">
        <v>-16591.74</v>
      </c>
    </row>
    <row r="49">
      <c r="A49" s="6" t="inlineStr">
        <is>
          <t xml:space="preserve">                              P1992-Vehicle - 2021 TM3</t>
        </is>
      </c>
      <c r="B49" s="6" t="inlineStr">
        <is>
          <t>P1992</t>
        </is>
      </c>
      <c r="C49" s="10" t="n">
        <v>0.0</v>
      </c>
    </row>
    <row r="50">
      <c r="A50" s="6" t="inlineStr">
        <is>
          <t xml:space="preserve">                              P1993-Vehicle - 2023 TM3</t>
        </is>
      </c>
      <c r="B50" s="6" t="inlineStr">
        <is>
          <t>P1993</t>
        </is>
      </c>
      <c r="C50" s="10" t="n">
        <v>26920.0</v>
      </c>
    </row>
    <row r="51">
      <c r="A51" s="25" t="inlineStr">
        <is>
          <t xml:space="preserve">                    Total for P1990-Other Assets (Personal)</t>
        </is>
      </c>
      <c r="B51" t="inlineStr">
        <is>
          <t>P1990</t>
        </is>
      </c>
      <c r="C51" s="4" t="n">
        <f>(+(C47)+(C48)+(C49)+(C50))</f>
        <v>0.0</v>
      </c>
    </row>
    <row r="53">
      <c r="A53" s="25" t="inlineStr">
        <is>
          <t xml:space="preserve">          Total for Other Assets</t>
        </is>
      </c>
      <c r="B53" t="inlineStr">
        <is>
          <t/>
        </is>
      </c>
      <c r="C53" s="4" t="n">
        <f>(+(C45)+(C51))</f>
        <v>0.0</v>
      </c>
    </row>
    <row r="55">
      <c r="A55" s="6" t="inlineStr">
        <is>
          <t xml:space="preserve">          Fixed Assets</t>
        </is>
      </c>
      <c r="B55" s="6" t="inlineStr">
        <is>
          <t/>
        </is>
      </c>
      <c r="C55" t="inlineStr">
        <is>
          <t/>
        </is>
      </c>
    </row>
    <row r="56">
      <c r="A56" s="6" t="inlineStr">
        <is>
          <t xml:space="preserve">                    P1700-Furniture and Equipment</t>
        </is>
      </c>
      <c r="B56" s="6" t="inlineStr">
        <is>
          <t>P1700</t>
        </is>
      </c>
      <c r="C56" s="10" t="n">
        <v>0.0</v>
      </c>
    </row>
    <row r="57">
      <c r="A57" s="6" t="inlineStr">
        <is>
          <t xml:space="preserve">                    P1801-4817 Shadow Pointe</t>
        </is>
      </c>
      <c r="B57" s="6" t="inlineStr">
        <is>
          <t>P1801</t>
        </is>
      </c>
      <c r="C57" s="10" t="n">
        <v>299999.0</v>
      </c>
    </row>
    <row r="58">
      <c r="A58" s="25" t="inlineStr">
        <is>
          <t xml:space="preserve">          Total for Fixed Assets</t>
        </is>
      </c>
      <c r="B58" t="inlineStr">
        <is>
          <t/>
        </is>
      </c>
      <c r="C58" s="4" t="n">
        <f>(+(C56)+(C57))</f>
        <v>0.0</v>
      </c>
    </row>
    <row r="60">
      <c r="A60" s="25" t="inlineStr">
        <is>
          <t>Total for Assets</t>
        </is>
      </c>
      <c r="B60" t="inlineStr">
        <is>
          <t/>
        </is>
      </c>
      <c r="C60" s="4" t="n">
        <f>(+(C40)+(C53)+(C58))</f>
        <v>0.0</v>
      </c>
    </row>
    <row r="62">
      <c r="A62" s="6" t="inlineStr">
        <is>
          <t>Liabilities &amp; Equities</t>
        </is>
      </c>
      <c r="B62" s="6" t="inlineStr">
        <is>
          <t/>
        </is>
      </c>
      <c r="C62" t="inlineStr">
        <is>
          <t/>
        </is>
      </c>
    </row>
    <row r="63">
      <c r="A63" s="6" t="inlineStr">
        <is>
          <t xml:space="preserve">          Liabilities</t>
        </is>
      </c>
      <c r="B63" s="6" t="inlineStr">
        <is>
          <t/>
        </is>
      </c>
      <c r="C63" t="inlineStr">
        <is>
          <t/>
        </is>
      </c>
    </row>
    <row r="64">
      <c r="A64" s="6" t="inlineStr">
        <is>
          <t xml:space="preserve">                    Current Liabilities</t>
        </is>
      </c>
      <c r="B64" s="6" t="inlineStr">
        <is>
          <t/>
        </is>
      </c>
      <c r="C64" t="inlineStr">
        <is>
          <t/>
        </is>
      </c>
    </row>
    <row r="65">
      <c r="A65" s="6" t="inlineStr">
        <is>
          <t xml:space="preserve">                              2140-Employee Reimbursements</t>
        </is>
      </c>
      <c r="B65" s="6" t="inlineStr">
        <is>
          <t>2140</t>
        </is>
      </c>
      <c r="C65" s="10" t="n">
        <v>0.0</v>
      </c>
    </row>
    <row r="66">
      <c r="A66" s="6" t="inlineStr">
        <is>
          <t xml:space="preserve">                              2805-Square Loan Payable</t>
        </is>
      </c>
      <c r="B66" s="6" t="inlineStr">
        <is>
          <t>2805</t>
        </is>
      </c>
      <c r="C66" s="10" t="n">
        <v>1171.81</v>
      </c>
    </row>
    <row r="67">
      <c r="A67" s="6" t="inlineStr">
        <is>
          <t xml:space="preserve">                              P2101-Accounts Payable</t>
        </is>
      </c>
      <c r="B67" s="6" t="inlineStr">
        <is>
          <t>P2101</t>
        </is>
      </c>
      <c r="C67" s="10" t="n">
        <v>17014.06</v>
      </c>
    </row>
    <row r="68">
      <c r="A68" s="6" t="inlineStr">
        <is>
          <t xml:space="preserve">                              P2110-Tax Payable</t>
        </is>
      </c>
      <c r="B68" s="6" t="inlineStr">
        <is>
          <t>P2110</t>
        </is>
      </c>
      <c r="C68" s="10" t="n">
        <v>5.93</v>
      </c>
    </row>
    <row r="69">
      <c r="A69" s="6" t="inlineStr">
        <is>
          <t xml:space="preserve">                              P2120-Unearned Revenue</t>
        </is>
      </c>
      <c r="B69" s="6" t="inlineStr">
        <is>
          <t>P2120</t>
        </is>
      </c>
      <c r="C69" s="10" t="n">
        <v>94.93</v>
      </c>
    </row>
    <row r="70">
      <c r="A70" s="6" t="inlineStr">
        <is>
          <t xml:space="preserve">                              P2130-Opening Balance Adjustments</t>
        </is>
      </c>
      <c r="B70" s="6" t="inlineStr">
        <is>
          <t>P2130</t>
        </is>
      </c>
      <c r="C70" s="10" t="n">
        <v>-48209.97</v>
      </c>
    </row>
    <row r="71">
      <c r="A71" s="6" t="inlineStr">
        <is>
          <t xml:space="preserve">                              P2300-Car Loans</t>
        </is>
      </c>
      <c r="B71" s="6" t="inlineStr">
        <is>
          <t>P2300</t>
        </is>
      </c>
      <c r="C71" s="10" t="n">
        <v>18366.05</v>
      </c>
    </row>
    <row r="72">
      <c r="A72" s="6" t="inlineStr">
        <is>
          <t xml:space="preserve">                                        P2301-BridgecrestM3Black</t>
        </is>
      </c>
      <c r="B72" s="6" t="inlineStr">
        <is>
          <t>P2301</t>
        </is>
      </c>
      <c r="C72" s="10" t="n">
        <v>-198.67</v>
      </c>
    </row>
    <row r="73">
      <c r="A73" s="6" t="inlineStr">
        <is>
          <t xml:space="preserve">                                        P2302-Loan Mart Title Loan</t>
        </is>
      </c>
      <c r="B73" s="6" t="inlineStr">
        <is>
          <t>P2302</t>
        </is>
      </c>
      <c r="C73" s="10" t="n">
        <v>87.33</v>
      </c>
    </row>
    <row r="74">
      <c r="A74" s="6" t="inlineStr">
        <is>
          <t xml:space="preserve">                                        P2303-Bridgecrest M3 Blue</t>
        </is>
      </c>
      <c r="B74" s="6" t="inlineStr">
        <is>
          <t>P2303.1</t>
        </is>
      </c>
      <c r="C74" s="10" t="n">
        <v>-5606.0</v>
      </c>
    </row>
    <row r="75">
      <c r="A75" s="25" t="inlineStr">
        <is>
          <t xml:space="preserve">                              Total for P2300-Car Loans</t>
        </is>
      </c>
      <c r="B75" t="inlineStr">
        <is>
          <t>P2300</t>
        </is>
      </c>
      <c r="C75" s="4" t="n">
        <f>(+(C71)+(C72)+(C73)+(C74))</f>
        <v>0.0</v>
      </c>
    </row>
    <row r="77">
      <c r="A77" s="6" t="inlineStr">
        <is>
          <t xml:space="preserve">                              P2600-MORTGAGE</t>
        </is>
      </c>
      <c r="B77" s="6" t="inlineStr">
        <is>
          <t>P2600</t>
        </is>
      </c>
      <c r="C77" s="10" t="n">
        <v>0.0</v>
      </c>
    </row>
    <row r="78">
      <c r="A78" s="6" t="inlineStr">
        <is>
          <t xml:space="preserve">                                        P2601-FCFCU Mortgage 1</t>
        </is>
      </c>
      <c r="B78" s="6" t="inlineStr">
        <is>
          <t>P2601</t>
        </is>
      </c>
      <c r="C78" s="10" t="n">
        <v>177500.36</v>
      </c>
    </row>
    <row r="79">
      <c r="A79" s="6" t="inlineStr">
        <is>
          <t xml:space="preserve">                                        P2602-FCFCU Mortgage 2</t>
        </is>
      </c>
      <c r="B79" s="6" t="inlineStr">
        <is>
          <t>P2602</t>
        </is>
      </c>
      <c r="C79" s="10" t="n">
        <v>20633.42</v>
      </c>
    </row>
    <row r="80">
      <c r="A80" s="25" t="inlineStr">
        <is>
          <t xml:space="preserve">                              Total for P2600-MORTGAGE</t>
        </is>
      </c>
      <c r="B80" t="inlineStr">
        <is>
          <t>P2600</t>
        </is>
      </c>
      <c r="C80" s="4" t="n">
        <f>(+(C77)+(C78)+(C79))</f>
        <v>0.0</v>
      </c>
    </row>
    <row r="82">
      <c r="A82" s="6" t="inlineStr">
        <is>
          <t xml:space="preserve">                              Suspense</t>
        </is>
      </c>
      <c r="B82" s="6" t="inlineStr">
        <is>
          <t/>
        </is>
      </c>
      <c r="C82" s="10" t="n">
        <v>0.0</v>
      </c>
    </row>
    <row r="83">
      <c r="A83" s="6" t="inlineStr">
        <is>
          <t xml:space="preserve">                              Tips</t>
        </is>
      </c>
      <c r="B83" s="6" t="inlineStr">
        <is>
          <t/>
        </is>
      </c>
      <c r="C83" s="10" t="n">
        <v>0.0</v>
      </c>
    </row>
    <row r="84">
      <c r="A84" s="25" t="inlineStr">
        <is>
          <t xml:space="preserve">                    Total for Current Liabilities</t>
        </is>
      </c>
      <c r="B84" t="inlineStr">
        <is>
          <t/>
        </is>
      </c>
      <c r="C84" s="4" t="n">
        <f>(+(C65)+(C66)+(C67)+(C68)+(C69)+(C70)+(C75)+(C80)+(C82)+(C83))</f>
        <v>0.0</v>
      </c>
    </row>
    <row r="86">
      <c r="A86" s="6" t="inlineStr">
        <is>
          <t xml:space="preserve">                    Long Term Liabilities</t>
        </is>
      </c>
      <c r="B86" s="6" t="inlineStr">
        <is>
          <t/>
        </is>
      </c>
      <c r="C86" t="inlineStr">
        <is>
          <t/>
        </is>
      </c>
    </row>
    <row r="87">
      <c r="A87" s="25" t="inlineStr">
        <is>
          <t xml:space="preserve">                    Total for Long Term Liabilities</t>
        </is>
      </c>
      <c r="B87" t="inlineStr">
        <is>
          <t/>
        </is>
      </c>
      <c r="C87" s="4" t="n">
        <v>0.0</v>
      </c>
    </row>
    <row r="89">
      <c r="A89" s="6" t="inlineStr">
        <is>
          <t xml:space="preserve">                    Other Liabilities</t>
        </is>
      </c>
      <c r="B89" s="6" t="inlineStr">
        <is>
          <t/>
        </is>
      </c>
      <c r="C89" t="inlineStr">
        <is>
          <t/>
        </is>
      </c>
    </row>
    <row r="90">
      <c r="A90" s="6" t="inlineStr">
        <is>
          <t xml:space="preserve">                              2150-Dimension Adjustments</t>
        </is>
      </c>
      <c r="B90" s="6" t="inlineStr">
        <is>
          <t>2150</t>
        </is>
      </c>
      <c r="C90" s="10" t="n">
        <v>0.0</v>
      </c>
    </row>
    <row r="91">
      <c r="A91" s="6" t="inlineStr">
        <is>
          <t xml:space="preserve">                              P2800-Collections</t>
        </is>
      </c>
      <c r="B91" s="6" t="inlineStr">
        <is>
          <t>P2800</t>
        </is>
      </c>
      <c r="C91" s="10" t="n">
        <v>0.0</v>
      </c>
    </row>
    <row r="92">
      <c r="A92" s="6" t="inlineStr">
        <is>
          <t xml:space="preserve">                                        P2801-Blitt and Gaines, P.C.</t>
        </is>
      </c>
      <c r="B92" s="6" t="inlineStr">
        <is>
          <t>P2801</t>
        </is>
      </c>
      <c r="C92" s="10" t="n">
        <v>0.0</v>
      </c>
    </row>
    <row r="93">
      <c r="A93" s="6" t="inlineStr">
        <is>
          <t xml:space="preserve">                                                  P2801.1-Blitt and Gaines, P.C.</t>
        </is>
      </c>
      <c r="B93" s="6" t="inlineStr">
        <is>
          <t>P2801.1</t>
        </is>
      </c>
      <c r="C93" s="10" t="n">
        <v>33809.88</v>
      </c>
    </row>
    <row r="94">
      <c r="A94" s="6" t="inlineStr">
        <is>
          <t xml:space="preserve">                                                  P2801.2-Blitt and Gaines, P.C.</t>
        </is>
      </c>
      <c r="B94" s="6" t="inlineStr">
        <is>
          <t>P2801.2</t>
        </is>
      </c>
      <c r="C94" s="10" t="n">
        <v>0.0</v>
      </c>
    </row>
    <row r="95">
      <c r="A95" s="25" t="inlineStr">
        <is>
          <t xml:space="preserve">                                        Total for P2801-Blitt and Gaines, P.C.</t>
        </is>
      </c>
      <c r="B95" t="inlineStr">
        <is>
          <t>P2801</t>
        </is>
      </c>
      <c r="C95" s="4" t="n">
        <f>(+(C92)+(C93)+(C94))</f>
        <v>0.0</v>
      </c>
    </row>
    <row r="97">
      <c r="A97" s="6" t="inlineStr">
        <is>
          <t xml:space="preserve">                                        P2801.5811-Joel Chase Ink 5811</t>
        </is>
      </c>
      <c r="B97" s="6" t="inlineStr">
        <is>
          <t>P2801.5811</t>
        </is>
      </c>
      <c r="C97" s="10" t="n">
        <v>35621.28</v>
      </c>
    </row>
    <row r="98">
      <c r="A98" s="6" t="inlineStr">
        <is>
          <t xml:space="preserve">                                        P2802-FSA LLC</t>
        </is>
      </c>
      <c r="B98" s="6" t="inlineStr">
        <is>
          <t>P2802</t>
        </is>
      </c>
      <c r="C98" s="10" t="n">
        <v>0.0</v>
      </c>
    </row>
    <row r="99">
      <c r="A99" s="6" t="inlineStr">
        <is>
          <t xml:space="preserve">                                                  P2802.1-FSA Cody</t>
        </is>
      </c>
      <c r="B99" s="6" t="inlineStr">
        <is>
          <t>P2802.1</t>
        </is>
      </c>
      <c r="C99" s="10" t="n">
        <v>9358.72</v>
      </c>
    </row>
    <row r="100">
      <c r="A100" s="6" t="inlineStr">
        <is>
          <t xml:space="preserve">                                                  P2802.2-FSA Cody</t>
        </is>
      </c>
      <c r="B100" s="6" t="inlineStr">
        <is>
          <t>P2802.2</t>
        </is>
      </c>
      <c r="C100" s="10" t="n">
        <v>5041.37</v>
      </c>
    </row>
    <row r="101">
      <c r="A101" s="6" t="inlineStr">
        <is>
          <t xml:space="preserve">                                                  P2802.3-FSA Joel</t>
        </is>
      </c>
      <c r="B101" s="6" t="inlineStr">
        <is>
          <t>P2802.3</t>
        </is>
      </c>
      <c r="C101" s="10" t="n">
        <v>0.0</v>
      </c>
    </row>
    <row r="102">
      <c r="A102" s="25" t="inlineStr">
        <is>
          <t xml:space="preserve">                                        Total for P2802-FSA LLC</t>
        </is>
      </c>
      <c r="B102" t="inlineStr">
        <is>
          <t>P2802</t>
        </is>
      </c>
      <c r="C102" s="4" t="n">
        <f>(+(C98)+(C99)+(C100)+(C101))</f>
        <v>0.0</v>
      </c>
    </row>
    <row r="104">
      <c r="A104" s="6" t="inlineStr">
        <is>
          <t xml:space="preserve">                                        P2108.0924-Gatestone &amp; Co. International Inc.</t>
        </is>
      </c>
      <c r="B104" s="6" t="inlineStr">
        <is>
          <t>P2108.0924</t>
        </is>
      </c>
      <c r="C104" s="10" t="n">
        <v>4833.29</v>
      </c>
    </row>
    <row r="105">
      <c r="A105" s="25" t="inlineStr">
        <is>
          <t xml:space="preserve">                              Total for P2800-Collections</t>
        </is>
      </c>
      <c r="B105" t="inlineStr">
        <is>
          <t>P2800</t>
        </is>
      </c>
      <c r="C105" s="4" t="n">
        <f>(+(C91)+(C95)+(C97)+(C102)+(C104))</f>
        <v>0.0</v>
      </c>
    </row>
    <row r="107">
      <c r="A107" s="25" t="inlineStr">
        <is>
          <t xml:space="preserve">                    Total for Other Liabilities</t>
        </is>
      </c>
      <c r="B107" t="inlineStr">
        <is>
          <t/>
        </is>
      </c>
      <c r="C107" s="4" t="n">
        <f>(+(C90)+(C105))</f>
        <v>0.0</v>
      </c>
    </row>
    <row r="109">
      <c r="A109" s="25" t="inlineStr">
        <is>
          <t xml:space="preserve">          Total for Liabilities</t>
        </is>
      </c>
      <c r="B109" t="inlineStr">
        <is>
          <t/>
        </is>
      </c>
      <c r="C109" s="4" t="n">
        <f>(+(C84)+(C87)+(C107))</f>
        <v>0.0</v>
      </c>
    </row>
    <row r="111">
      <c r="A111" s="6" t="inlineStr">
        <is>
          <t xml:space="preserve">          Equities</t>
        </is>
      </c>
      <c r="B111" s="6" t="inlineStr">
        <is>
          <t/>
        </is>
      </c>
      <c r="C111" t="inlineStr">
        <is>
          <t/>
        </is>
      </c>
    </row>
    <row r="112">
      <c r="A112" s="6" t="inlineStr">
        <is>
          <t xml:space="preserve">                    6000-Owner's Equity</t>
        </is>
      </c>
      <c r="B112" s="6" t="inlineStr">
        <is>
          <t>6100</t>
        </is>
      </c>
      <c r="C112" s="10" t="n">
        <v>67727.45</v>
      </c>
    </row>
    <row r="113">
      <c r="A113" s="6" t="inlineStr">
        <is>
          <t xml:space="preserve">                              6150-Owners Draw/Personal</t>
        </is>
      </c>
      <c r="B113" s="6" t="inlineStr">
        <is>
          <t>6150</t>
        </is>
      </c>
      <c r="C113" s="10" t="n">
        <v>617.27</v>
      </c>
    </row>
    <row r="114">
      <c r="A114" s="6" t="inlineStr">
        <is>
          <t xml:space="preserve">                              6200-Opening Balance Offset</t>
        </is>
      </c>
      <c r="B114" s="6" t="inlineStr">
        <is>
          <t>6200</t>
        </is>
      </c>
      <c r="C114" s="10" t="n">
        <v>12220.39</v>
      </c>
    </row>
    <row r="115">
      <c r="A115" s="25" t="inlineStr">
        <is>
          <t xml:space="preserve">                    Total for 6000-Owner's Equity</t>
        </is>
      </c>
      <c r="B115" t="inlineStr">
        <is>
          <t>6100</t>
        </is>
      </c>
      <c r="C115" s="4" t="n">
        <f>(+(C112)+(C113)+(C114))</f>
        <v>0.0</v>
      </c>
    </row>
    <row r="117">
      <c r="A117" s="6" t="inlineStr">
        <is>
          <t xml:space="preserve">                    Current Year Earnings</t>
        </is>
      </c>
      <c r="B117" s="6" t="inlineStr">
        <is>
          <t/>
        </is>
      </c>
      <c r="C117" s="10" t="n">
        <v>-33609.72</v>
      </c>
    </row>
    <row r="118">
      <c r="A118" s="6" t="inlineStr">
        <is>
          <t xml:space="preserve">                    6300-Retained Earnings</t>
        </is>
      </c>
      <c r="B118" s="6" t="inlineStr">
        <is>
          <t>6300.00</t>
        </is>
      </c>
      <c r="C118" s="10" t="n">
        <v>-323.82</v>
      </c>
    </row>
    <row r="119">
      <c r="A119" s="25" t="inlineStr">
        <is>
          <t xml:space="preserve">          Total for Equities</t>
        </is>
      </c>
      <c r="B119" t="inlineStr">
        <is>
          <t/>
        </is>
      </c>
      <c r="C119" s="4" t="n">
        <f>(+(C115)+(C117)+(C118))</f>
        <v>0.0</v>
      </c>
    </row>
    <row r="121">
      <c r="A121" s="25" t="inlineStr">
        <is>
          <t>Total for Liabilities &amp; Equities</t>
        </is>
      </c>
      <c r="B121" t="inlineStr">
        <is>
          <t/>
        </is>
      </c>
      <c r="C121" s="4" t="n">
        <f>(+(C109)+(C119))</f>
        <v>0.0</v>
      </c>
    </row>
    <row r="122">
      <c r="A122" s="12" t="inlineStr">
        <is>
          <t/>
        </is>
      </c>
    </row>
  </sheetData>
  <mergeCells count="2">
    <mergeCell ref="A1:C1"/>
    <mergeCell ref="A122:C1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2024-10-31T02:55:08Z</dcterms:created>
  <dc:creator>Apache POI</dc:creator>
</cp:coreProperties>
</file>