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<sst xmlns="http://schemas.openxmlformats.org/spreadsheetml/2006/main" count="151" uniqueCount="151">
  <si>
    <t>Total</t>
  </si>
  <si>
    <t>Income</t>
  </si>
  <si>
    <t xml:space="preserve">   Billable Expense Income</t>
  </si>
  <si>
    <t xml:space="preserve">   Cash Back</t>
  </si>
  <si>
    <t xml:space="preserve">   Interest Income</t>
  </si>
  <si>
    <t xml:space="preserve">   Primary Income</t>
  </si>
  <si>
    <t xml:space="preserve">      Business Income</t>
  </si>
  <si>
    <t xml:space="preserve">      Other</t>
  </si>
  <si>
    <t xml:space="preserve">      W2 - CJ Rice &amp; Companies, LLC - Cody</t>
  </si>
  <si>
    <t xml:space="preserve">      W2 - MSIL Services, Inc (deleted)</t>
  </si>
  <si>
    <t xml:space="preserve">   Total Primary Income</t>
  </si>
  <si>
    <t xml:space="preserve">   Sales</t>
  </si>
  <si>
    <t xml:space="preserve">      Electronic Payment Fees</t>
  </si>
  <si>
    <t xml:space="preserve">      QuickBooks Payments Sales</t>
  </si>
  <si>
    <t xml:space="preserve">      Rental Income</t>
  </si>
  <si>
    <t xml:space="preserve">      Sales of Product Income</t>
  </si>
  <si>
    <t xml:space="preserve">   Total Sales</t>
  </si>
  <si>
    <t xml:space="preserve">   Spouse Primary Income</t>
  </si>
  <si>
    <t xml:space="preserve">      W2 Joel - CJ Rice &amp; Companies, LLC</t>
  </si>
  <si>
    <t xml:space="preserve">   Total Spouse Primary Income</t>
  </si>
  <si>
    <t xml:space="preserve">   Tax Refund</t>
  </si>
  <si>
    <t>Total Income</t>
  </si>
  <si>
    <t>Gross Profit</t>
  </si>
  <si>
    <t>Expenses</t>
  </si>
  <si>
    <t xml:space="preserve">   Bank Charges &amp; Fees</t>
  </si>
  <si>
    <t xml:space="preserve">      IRA Sales Charge</t>
  </si>
  <si>
    <t xml:space="preserve">   Total Bank Charges &amp; Fees</t>
  </si>
  <si>
    <t xml:space="preserve">   Beauty</t>
  </si>
  <si>
    <t xml:space="preserve">   Car &amp; Truck</t>
  </si>
  <si>
    <t xml:space="preserve">      Auto Repairs</t>
  </si>
  <si>
    <t xml:space="preserve">      Car Insurance</t>
  </si>
  <si>
    <t xml:space="preserve">      Car Payment (deleted)</t>
  </si>
  <si>
    <t xml:space="preserve">      Car Payment Jeep (deleted)</t>
  </si>
  <si>
    <t xml:space="preserve">      Car Wash</t>
  </si>
  <si>
    <t xml:space="preserve">      Gas</t>
  </si>
  <si>
    <t xml:space="preserve">      Tesla Charging</t>
  </si>
  <si>
    <t xml:space="preserve">      Vehicle Registration</t>
  </si>
  <si>
    <t xml:space="preserve">   Total Car &amp; Truck</t>
  </si>
  <si>
    <t xml:space="preserve">   Citi Bank Flex Pay (deleted)</t>
  </si>
  <si>
    <t xml:space="preserve">   Contractors</t>
  </si>
  <si>
    <t xml:space="preserve">   Credit Card Payment</t>
  </si>
  <si>
    <t xml:space="preserve">   Gifts &amp; Charity</t>
  </si>
  <si>
    <t xml:space="preserve">      Honduras</t>
  </si>
  <si>
    <t xml:space="preserve">         HND Bank Fees</t>
  </si>
  <si>
    <t xml:space="preserve">         HND Legal and Professional Costs</t>
  </si>
  <si>
    <t xml:space="preserve">         HND Living Expenses Cash</t>
  </si>
  <si>
    <t xml:space="preserve">         HND Meals</t>
  </si>
  <si>
    <t xml:space="preserve">         HND Pharmacy</t>
  </si>
  <si>
    <t xml:space="preserve">         HND Travel</t>
  </si>
  <si>
    <t xml:space="preserve">      Total Honduras</t>
  </si>
  <si>
    <t xml:space="preserve">   Total Gifts &amp; Charity</t>
  </si>
  <si>
    <t xml:space="preserve">   HOA Dues</t>
  </si>
  <si>
    <t xml:space="preserve">   Home Owners Insurance</t>
  </si>
  <si>
    <t xml:space="preserve">   Home Supplies</t>
  </si>
  <si>
    <t xml:space="preserve">      Home Pest Control</t>
  </si>
  <si>
    <t xml:space="preserve">      Housekeeping</t>
  </si>
  <si>
    <t xml:space="preserve">   Total Home Supplies</t>
  </si>
  <si>
    <t xml:space="preserve">   Insurance</t>
  </si>
  <si>
    <t xml:space="preserve">      Dental</t>
  </si>
  <si>
    <t xml:space="preserve">      Group Term Life</t>
  </si>
  <si>
    <t xml:space="preserve">      Home Warranty</t>
  </si>
  <si>
    <t xml:space="preserve">      Liberty Supplemental</t>
  </si>
  <si>
    <t xml:space="preserve">      Medical HSA</t>
  </si>
  <si>
    <t xml:space="preserve">      Spouse Life</t>
  </si>
  <si>
    <t xml:space="preserve">      Vision</t>
  </si>
  <si>
    <t xml:space="preserve">   Total Insurance</t>
  </si>
  <si>
    <t xml:space="preserve">   Interest Paid</t>
  </si>
  <si>
    <t xml:space="preserve">   Job Supplies</t>
  </si>
  <si>
    <t xml:space="preserve">   Late Fee</t>
  </si>
  <si>
    <t xml:space="preserve">   Legal &amp; Professional Services</t>
  </si>
  <si>
    <t xml:space="preserve">   Lisa - Personal Loan or Expense</t>
  </si>
  <si>
    <t xml:space="preserve">   Meals &amp; Entertainment</t>
  </si>
  <si>
    <t xml:space="preserve">      Eating Out</t>
  </si>
  <si>
    <t xml:space="preserve">         Coffee Shops</t>
  </si>
  <si>
    <t xml:space="preserve">         Fast Food</t>
  </si>
  <si>
    <t xml:space="preserve">         Lunch</t>
  </si>
  <si>
    <t xml:space="preserve">         Restaurants</t>
  </si>
  <si>
    <t xml:space="preserve">      Total Eating Out</t>
  </si>
  <si>
    <t xml:space="preserve">      Entertainment/Amusement</t>
  </si>
  <si>
    <t xml:space="preserve">         Bar &amp; Alcohol</t>
  </si>
  <si>
    <t xml:space="preserve">         Clubs Entertainment</t>
  </si>
  <si>
    <t xml:space="preserve">         Music</t>
  </si>
  <si>
    <t xml:space="preserve">      Total Entertainment/Amusement</t>
  </si>
  <si>
    <t xml:space="preserve">      Groceries</t>
  </si>
  <si>
    <t xml:space="preserve">   Total Meals &amp; Entertainment</t>
  </si>
  <si>
    <t xml:space="preserve">   Medical</t>
  </si>
  <si>
    <t xml:space="preserve">      Dental Eye/Vision Care</t>
  </si>
  <si>
    <t xml:space="preserve">      Gym (deleted)</t>
  </si>
  <si>
    <t xml:space="preserve">      Medical Fertility Expenses</t>
  </si>
  <si>
    <t xml:space="preserve">      Pharmacy Lab Testing</t>
  </si>
  <si>
    <t xml:space="preserve">   Total Medical</t>
  </si>
  <si>
    <t xml:space="preserve">   Mortgage</t>
  </si>
  <si>
    <t xml:space="preserve">      Closing Costs</t>
  </si>
  <si>
    <t xml:space="preserve">      Mortgage Insurance (deleted)</t>
  </si>
  <si>
    <t xml:space="preserve">      Mortgage Interest</t>
  </si>
  <si>
    <t xml:space="preserve">      Principal</t>
  </si>
  <si>
    <t xml:space="preserve">   Total Mortgage</t>
  </si>
  <si>
    <t xml:space="preserve">   Office Supplies &amp; Software</t>
  </si>
  <si>
    <t xml:space="preserve">   Other Business Expenses</t>
  </si>
  <si>
    <t xml:space="preserve">      CJ Rice and Companies, LLC - Personal Expense</t>
  </si>
  <si>
    <t xml:space="preserve">      Hotel Room and Board (deleted)</t>
  </si>
  <si>
    <t xml:space="preserve">   Total Other Business Expenses</t>
  </si>
  <si>
    <t xml:space="preserve">   Parking</t>
  </si>
  <si>
    <t xml:space="preserve">   Personal Loan</t>
  </si>
  <si>
    <t xml:space="preserve">   QuickBooks Payments Fees</t>
  </si>
  <si>
    <t xml:space="preserve">   Reimbursable Expenses</t>
  </si>
  <si>
    <t xml:space="preserve">   Rent &amp; Lease</t>
  </si>
  <si>
    <t xml:space="preserve">   Repairs &amp; Maintenance</t>
  </si>
  <si>
    <t xml:space="preserve">      Home Repairs (deleted)</t>
  </si>
  <si>
    <t xml:space="preserve">   Total Repairs &amp; Maintenance</t>
  </si>
  <si>
    <t xml:space="preserve">   Shipping</t>
  </si>
  <si>
    <t xml:space="preserve">   Shopping and Purchase</t>
  </si>
  <si>
    <t xml:space="preserve">   Student Loan Payments (deleted)</t>
  </si>
  <si>
    <t xml:space="preserve">   Taxes &amp; Licenses</t>
  </si>
  <si>
    <t xml:space="preserve">      Property Taxes</t>
  </si>
  <si>
    <t xml:space="preserve">      Withholding Payroll Tax Expenses</t>
  </si>
  <si>
    <t xml:space="preserve">         Federal Taxes Withheld</t>
  </si>
  <si>
    <t xml:space="preserve">         Indiana State Tax Withholding</t>
  </si>
  <si>
    <t xml:space="preserve">         Local Tax Withheld</t>
  </si>
  <si>
    <t xml:space="preserve">         Medicare Tax Withholding</t>
  </si>
  <si>
    <t xml:space="preserve">         Social Security Tax Withholding</t>
  </si>
  <si>
    <t xml:space="preserve">      Total Withholding Payroll Tax Expenses</t>
  </si>
  <si>
    <t xml:space="preserve">   Total Taxes &amp; Licenses</t>
  </si>
  <si>
    <t xml:space="preserve">   Travel</t>
  </si>
  <si>
    <t xml:space="preserve">      Taxi or Rideshare or Rental Services</t>
  </si>
  <si>
    <t xml:space="preserve">      Travel Meals</t>
  </si>
  <si>
    <t xml:space="preserve">      Travel Stay Hotel</t>
  </si>
  <si>
    <t xml:space="preserve">   Total Travel</t>
  </si>
  <si>
    <t xml:space="preserve">   Uncategorized Expense</t>
  </si>
  <si>
    <t xml:space="preserve">   Utilities</t>
  </si>
  <si>
    <t xml:space="preserve">      Home Utilities</t>
  </si>
  <si>
    <t xml:space="preserve">      Telecom Utilities</t>
  </si>
  <si>
    <t xml:space="preserve">   Total Utilities</t>
  </si>
  <si>
    <t>Total Expenses</t>
  </si>
  <si>
    <t>Net Operating Income</t>
  </si>
  <si>
    <t>Other Income</t>
  </si>
  <si>
    <t xml:space="preserve">   Guideline 401(k) Company Contribution</t>
  </si>
  <si>
    <t xml:space="preserve">   Late Fee Income</t>
  </si>
  <si>
    <t xml:space="preserve">   Unrealized Gains or Losses</t>
  </si>
  <si>
    <t>Total Other Income</t>
  </si>
  <si>
    <t>Other Expenses</t>
  </si>
  <si>
    <t xml:space="preserve">   Other Miscellaneous Expense</t>
  </si>
  <si>
    <t xml:space="preserve">   Pet Supplies</t>
  </si>
  <si>
    <t xml:space="preserve">   Reconciliation Discrepancies</t>
  </si>
  <si>
    <t>Total Other Expenses</t>
  </si>
  <si>
    <t>Net Other Income</t>
  </si>
  <si>
    <t>Net Income</t>
  </si>
  <si>
    <t>Tuesday, Aug 29, 2023 01:23:04 PM GMT-7 - Accrual Basis</t>
  </si>
  <si>
    <t>A Rice-Velasquez Enterprise</t>
  </si>
  <si>
    <t>Profit and Loss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</si>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</sst>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5"/>
  <sheetViews>
    <sheetView workbookViewId="0" tabSelected="true"/>
  </sheetViews>
  <sheetFormatPr defaultRowHeight="15.0"/>
  <cols>
    <col min="1" max="1" width="44.6875" customWidth="true"/>
    <col min="2" max="2" width="24.0625" customWidth="true"/>
  </cols>
  <sheetData>
    <row r="1">
      <c r="A1" s="9" t="s">
        <v>148</v>
      </c>
      <c r="B1"/>
    </row>
    <row r="2">
      <c r="A2" s="9" t="s">
        <v>149</v>
      </c>
      <c r="B2"/>
    </row>
    <row r="3">
      <c r="A3" s="10" t="s">
        <v>150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20416.77</f>
        <v>0.0</v>
      </c>
    </row>
    <row r="8">
      <c r="A8" t="s" s="3">
        <v>3</v>
      </c>
      <c r="B8" t="n" s="5">
        <f>3247.92</f>
        <v>0.0</v>
      </c>
    </row>
    <row r="9">
      <c r="A9" t="s" s="3">
        <v>4</v>
      </c>
      <c r="B9" t="n" s="5">
        <f>1.13</f>
        <v>0.0</v>
      </c>
    </row>
    <row r="10">
      <c r="A10" t="s" s="3">
        <v>5</v>
      </c>
      <c r="B10" t="n" s="5">
        <f>29436.43</f>
        <v>0.0</v>
      </c>
    </row>
    <row r="11">
      <c r="A11" t="s" s="3">
        <v>6</v>
      </c>
      <c r="B11" t="n" s="5">
        <f>13421.73</f>
        <v>0.0</v>
      </c>
    </row>
    <row r="12">
      <c r="A12" t="s" s="3">
        <v>7</v>
      </c>
      <c r="B12" t="n" s="5">
        <f>16280.06</f>
        <v>0.0</v>
      </c>
    </row>
    <row r="13">
      <c r="A13" t="s" s="3">
        <v>8</v>
      </c>
      <c r="B13" t="n" s="5">
        <f>57060.01</f>
        <v>0.0</v>
      </c>
    </row>
    <row r="14">
      <c r="A14" t="s" s="3">
        <v>9</v>
      </c>
      <c r="B14" t="n" s="5">
        <f>188560.61</f>
        <v>0.0</v>
      </c>
    </row>
    <row r="15">
      <c r="A15" t="s" s="3">
        <v>10</v>
      </c>
      <c r="B15" t="n" s="6">
        <f>((((B10)+(B11))+(B12))+(B13))+(B14)</f>
        <v>0.0</v>
      </c>
    </row>
    <row r="16">
      <c r="A16" t="s" s="3">
        <v>11</v>
      </c>
      <c r="B16" t="n" s="5">
        <f>2544.35</f>
        <v>0.0</v>
      </c>
    </row>
    <row r="17">
      <c r="A17" t="s" s="3">
        <v>12</v>
      </c>
      <c r="B17" t="n" s="5">
        <f>85.22</f>
        <v>0.0</v>
      </c>
    </row>
    <row r="18">
      <c r="A18" t="s" s="3">
        <v>13</v>
      </c>
      <c r="B18" t="n" s="5">
        <f>4627.44</f>
        <v>0.0</v>
      </c>
    </row>
    <row r="19">
      <c r="A19" t="s" s="3">
        <v>14</v>
      </c>
      <c r="B19" t="n" s="5">
        <f>42103.50</f>
        <v>0.0</v>
      </c>
    </row>
    <row r="20">
      <c r="A20" t="s" s="3">
        <v>15</v>
      </c>
      <c r="B20" t="n" s="5">
        <f>50.00</f>
        <v>0.0</v>
      </c>
    </row>
    <row r="21">
      <c r="A21" t="s" s="3">
        <v>16</v>
      </c>
      <c r="B21" t="n" s="6">
        <f>((((B16)+(B17))+(B18))+(B19))+(B20)</f>
        <v>0.0</v>
      </c>
    </row>
    <row r="22">
      <c r="A22" t="s" s="3">
        <v>17</v>
      </c>
      <c r="B22" t="n" s="5">
        <f>6430.63</f>
        <v>0.0</v>
      </c>
    </row>
    <row r="23">
      <c r="A23" t="s" s="3">
        <v>18</v>
      </c>
      <c r="B23" t="n" s="5">
        <f>81287.29</f>
        <v>0.0</v>
      </c>
    </row>
    <row r="24">
      <c r="A24" t="s" s="3">
        <v>19</v>
      </c>
      <c r="B24" t="n" s="6">
        <f>(B22)+(B23)</f>
        <v>0.0</v>
      </c>
    </row>
    <row r="25">
      <c r="A25" t="s" s="3">
        <v>20</v>
      </c>
      <c r="B25" t="n" s="5">
        <f>12139.00</f>
        <v>0.0</v>
      </c>
    </row>
    <row r="26">
      <c r="A26" t="s" s="3">
        <v>21</v>
      </c>
      <c r="B26" t="n" s="6">
        <f>((((((B7)+(B8))+(B9))+(B15))+(B21))+(B24))+(B25)</f>
        <v>0.0</v>
      </c>
    </row>
    <row r="27">
      <c r="A27" t="s" s="3">
        <v>22</v>
      </c>
      <c r="B27" t="n" s="6">
        <f>(B26)-(0)</f>
        <v>0.0</v>
      </c>
    </row>
    <row r="28">
      <c r="A28" t="s" s="3">
        <v>23</v>
      </c>
      <c r="B28" s="4"/>
    </row>
    <row r="29">
      <c r="A29" t="s" s="3">
        <v>24</v>
      </c>
      <c r="B29" t="n" s="5">
        <f>1483.44</f>
        <v>0.0</v>
      </c>
    </row>
    <row r="30">
      <c r="A30" t="s" s="3">
        <v>25</v>
      </c>
      <c r="B30" t="n" s="5">
        <f>345.31</f>
        <v>0.0</v>
      </c>
    </row>
    <row r="31">
      <c r="A31" t="s" s="3">
        <v>26</v>
      </c>
      <c r="B31" t="n" s="6">
        <f>(B29)+(B30)</f>
        <v>0.0</v>
      </c>
    </row>
    <row r="32">
      <c r="A32" t="s" s="3">
        <v>27</v>
      </c>
      <c r="B32" t="n" s="5">
        <f>3154.03</f>
        <v>0.0</v>
      </c>
    </row>
    <row r="33">
      <c r="A33" t="s" s="3">
        <v>28</v>
      </c>
      <c r="B33" t="n" s="5">
        <f>397.00</f>
        <v>0.0</v>
      </c>
    </row>
    <row r="34">
      <c r="A34" t="s" s="3">
        <v>29</v>
      </c>
      <c r="B34" t="n" s="5">
        <f>2078.89</f>
        <v>0.0</v>
      </c>
    </row>
    <row r="35">
      <c r="A35" t="s" s="3">
        <v>30</v>
      </c>
      <c r="B35" t="n" s="5">
        <f>7261.11</f>
        <v>0.0</v>
      </c>
    </row>
    <row r="36">
      <c r="A36" t="s" s="3">
        <v>31</v>
      </c>
      <c r="B36" t="n" s="5">
        <f>3067.54</f>
        <v>0.0</v>
      </c>
    </row>
    <row r="37">
      <c r="A37" t="s" s="3">
        <v>32</v>
      </c>
      <c r="B37" t="n" s="5">
        <f>5273.38</f>
        <v>0.0</v>
      </c>
    </row>
    <row r="38">
      <c r="A38" t="s" s="3">
        <v>33</v>
      </c>
      <c r="B38" t="n" s="5">
        <f>842.84</f>
        <v>0.0</v>
      </c>
    </row>
    <row r="39">
      <c r="A39" t="s" s="3">
        <v>34</v>
      </c>
      <c r="B39" t="n" s="5">
        <f>4936.53</f>
        <v>0.0</v>
      </c>
    </row>
    <row r="40">
      <c r="A40" t="s" s="3">
        <v>35</v>
      </c>
      <c r="B40" t="n" s="5">
        <f>224.02</f>
        <v>0.0</v>
      </c>
    </row>
    <row r="41">
      <c r="A41" t="s" s="3">
        <v>36</v>
      </c>
      <c r="B41" t="n" s="5">
        <f>888.85</f>
        <v>0.0</v>
      </c>
    </row>
    <row r="42">
      <c r="A42" t="s" s="3">
        <v>37</v>
      </c>
      <c r="B42" t="n" s="6">
        <f>((((((((B33)+(B34))+(B35))+(B36))+(B37))+(B38))+(B39))+(B40))+(B41)</f>
        <v>0.0</v>
      </c>
    </row>
    <row r="43">
      <c r="A43" t="s" s="3">
        <v>38</v>
      </c>
      <c r="B43" t="n" s="5">
        <f>0.00</f>
        <v>0.0</v>
      </c>
    </row>
    <row r="44">
      <c r="A44" t="s" s="3">
        <v>39</v>
      </c>
      <c r="B44" t="n" s="5">
        <f>60.00</f>
        <v>0.0</v>
      </c>
    </row>
    <row r="45">
      <c r="A45" t="s" s="3">
        <v>40</v>
      </c>
      <c r="B45" t="n" s="5">
        <f>6664.84</f>
        <v>0.0</v>
      </c>
    </row>
    <row r="46">
      <c r="A46" t="s" s="3">
        <v>41</v>
      </c>
      <c r="B46" t="n" s="5">
        <f>6428.81</f>
        <v>0.0</v>
      </c>
    </row>
    <row r="47">
      <c r="A47" t="s" s="3">
        <v>42</v>
      </c>
      <c r="B47" t="n" s="5">
        <f>4064.71</f>
        <v>0.0</v>
      </c>
    </row>
    <row r="48">
      <c r="A48" t="s" s="3">
        <v>43</v>
      </c>
      <c r="B48" t="n" s="5">
        <f>121.17</f>
        <v>0.0</v>
      </c>
    </row>
    <row r="49">
      <c r="A49" t="s" s="3">
        <v>44</v>
      </c>
      <c r="B49" t="n" s="5">
        <f>2642.42</f>
        <v>0.0</v>
      </c>
    </row>
    <row r="50">
      <c r="A50" t="s" s="3">
        <v>45</v>
      </c>
      <c r="B50" t="n" s="5">
        <f>14189.73</f>
        <v>0.0</v>
      </c>
    </row>
    <row r="51">
      <c r="A51" t="s" s="3">
        <v>46</v>
      </c>
      <c r="B51" t="n" s="5">
        <f>6017.93</f>
        <v>0.0</v>
      </c>
    </row>
    <row r="52">
      <c r="A52" t="s" s="3">
        <v>47</v>
      </c>
      <c r="B52" t="n" s="5">
        <f>540.43</f>
        <v>0.0</v>
      </c>
    </row>
    <row r="53">
      <c r="A53" t="s" s="3">
        <v>48</v>
      </c>
      <c r="B53" t="n" s="5">
        <f>2191.97</f>
        <v>0.0</v>
      </c>
    </row>
    <row r="54">
      <c r="A54" t="s" s="3">
        <v>49</v>
      </c>
      <c r="B54" t="n" s="6">
        <f>((((((B47)+(B48))+(B49))+(B50))+(B51))+(B52))+(B53)</f>
        <v>0.0</v>
      </c>
    </row>
    <row r="55">
      <c r="A55" t="s" s="3">
        <v>50</v>
      </c>
      <c r="B55" t="n" s="6">
        <f>(B46)+(B54)</f>
        <v>0.0</v>
      </c>
    </row>
    <row r="56">
      <c r="A56" t="s" s="3">
        <v>51</v>
      </c>
      <c r="B56" t="n" s="5">
        <f>1384.98</f>
        <v>0.0</v>
      </c>
    </row>
    <row r="57">
      <c r="A57" t="s" s="3">
        <v>52</v>
      </c>
      <c r="B57" t="n" s="5">
        <f>2936.53</f>
        <v>0.0</v>
      </c>
    </row>
    <row r="58">
      <c r="A58" t="s" s="3">
        <v>53</v>
      </c>
      <c r="B58" t="n" s="5">
        <f>13051.94</f>
        <v>0.0</v>
      </c>
    </row>
    <row r="59">
      <c r="A59" t="s" s="3">
        <v>54</v>
      </c>
      <c r="B59" t="n" s="5">
        <f>1044.50</f>
        <v>0.0</v>
      </c>
    </row>
    <row r="60">
      <c r="A60" t="s" s="3">
        <v>55</v>
      </c>
      <c r="B60" t="n" s="5">
        <f>896.34</f>
        <v>0.0</v>
      </c>
    </row>
    <row r="61">
      <c r="A61" t="s" s="3">
        <v>56</v>
      </c>
      <c r="B61" t="n" s="6">
        <f>((B58)+(B59))+(B60)</f>
        <v>0.0</v>
      </c>
    </row>
    <row r="62">
      <c r="A62" t="s" s="3">
        <v>57</v>
      </c>
      <c r="B62" t="n" s="5">
        <f>434.16</f>
        <v>0.0</v>
      </c>
    </row>
    <row r="63">
      <c r="A63" t="s" s="3">
        <v>58</v>
      </c>
      <c r="B63" t="n" s="5">
        <f>694.57</f>
        <v>0.0</v>
      </c>
    </row>
    <row r="64">
      <c r="A64" t="s" s="3">
        <v>59</v>
      </c>
      <c r="B64" t="n" s="5">
        <f>140.56</f>
        <v>0.0</v>
      </c>
    </row>
    <row r="65">
      <c r="A65" t="s" s="3">
        <v>60</v>
      </c>
      <c r="B65" t="n" s="5">
        <f>1439.10</f>
        <v>0.0</v>
      </c>
    </row>
    <row r="66">
      <c r="A66" t="s" s="3">
        <v>61</v>
      </c>
      <c r="B66" t="n" s="5">
        <f>81.00</f>
        <v>0.0</v>
      </c>
    </row>
    <row r="67">
      <c r="A67" t="s" s="3">
        <v>62</v>
      </c>
      <c r="B67" t="n" s="5">
        <f>12555.09</f>
        <v>0.0</v>
      </c>
    </row>
    <row r="68">
      <c r="A68" t="s" s="3">
        <v>63</v>
      </c>
      <c r="B68" t="n" s="5">
        <f>70.28</f>
        <v>0.0</v>
      </c>
    </row>
    <row r="69">
      <c r="A69" t="s" s="3">
        <v>64</v>
      </c>
      <c r="B69" t="n" s="5">
        <f>104.42</f>
        <v>0.0</v>
      </c>
    </row>
    <row r="70">
      <c r="A70" t="s" s="3">
        <v>65</v>
      </c>
      <c r="B70" t="n" s="6">
        <f>(((((((B62)+(B63))+(B64))+(B65))+(B66))+(B67))+(B68))+(B69)</f>
        <v>0.0</v>
      </c>
    </row>
    <row r="71">
      <c r="A71" t="s" s="3">
        <v>66</v>
      </c>
      <c r="B71" t="n" s="5">
        <f>26639.90</f>
        <v>0.0</v>
      </c>
    </row>
    <row r="72">
      <c r="A72" t="s" s="3">
        <v>67</v>
      </c>
      <c r="B72" t="n" s="5">
        <f>71.65</f>
        <v>0.0</v>
      </c>
    </row>
    <row r="73">
      <c r="A73" t="s" s="3">
        <v>68</v>
      </c>
      <c r="B73" t="n" s="5">
        <f>172.51</f>
        <v>0.0</v>
      </c>
    </row>
    <row r="74">
      <c r="A74" t="s" s="3">
        <v>69</v>
      </c>
      <c r="B74" t="n" s="5">
        <f>1054.63</f>
        <v>0.0</v>
      </c>
    </row>
    <row r="75">
      <c r="A75" t="s" s="3">
        <v>70</v>
      </c>
      <c r="B75" t="n" s="5">
        <f>0.00</f>
        <v>0.0</v>
      </c>
    </row>
    <row r="76">
      <c r="A76" t="s" s="3">
        <v>71</v>
      </c>
      <c r="B76" t="n" s="5">
        <f>1141.02</f>
        <v>0.0</v>
      </c>
    </row>
    <row r="77">
      <c r="A77" t="s" s="3">
        <v>72</v>
      </c>
      <c r="B77" t="n" s="5">
        <f>5246.32</f>
        <v>0.0</v>
      </c>
    </row>
    <row r="78">
      <c r="A78" t="s" s="3">
        <v>73</v>
      </c>
      <c r="B78" t="n" s="5">
        <f>3367.20</f>
        <v>0.0</v>
      </c>
    </row>
    <row r="79">
      <c r="A79" t="s" s="3">
        <v>74</v>
      </c>
      <c r="B79" t="n" s="5">
        <f>12933.09</f>
        <v>0.0</v>
      </c>
    </row>
    <row r="80">
      <c r="A80" t="s" s="3">
        <v>75</v>
      </c>
      <c r="B80" t="n" s="5">
        <f>7620.74</f>
        <v>0.0</v>
      </c>
    </row>
    <row r="81">
      <c r="A81" t="s" s="3">
        <v>76</v>
      </c>
      <c r="B81" t="n" s="5">
        <f>6150.95</f>
        <v>0.0</v>
      </c>
    </row>
    <row r="82">
      <c r="A82" t="s" s="3">
        <v>77</v>
      </c>
      <c r="B82" t="n" s="6">
        <f>((((B77)+(B78))+(B79))+(B80))+(B81)</f>
        <v>0.0</v>
      </c>
    </row>
    <row r="83">
      <c r="A83" t="s" s="3">
        <v>78</v>
      </c>
      <c r="B83" t="n" s="5">
        <f>1012.20</f>
        <v>0.0</v>
      </c>
    </row>
    <row r="84">
      <c r="A84" t="s" s="3">
        <v>79</v>
      </c>
      <c r="B84" t="n" s="5">
        <f>7577.51</f>
        <v>0.0</v>
      </c>
    </row>
    <row r="85">
      <c r="A85" t="s" s="3">
        <v>80</v>
      </c>
      <c r="B85" t="n" s="5">
        <f>19845.86</f>
        <v>0.0</v>
      </c>
    </row>
    <row r="86">
      <c r="A86" t="s" s="3">
        <v>81</v>
      </c>
      <c r="B86" t="n" s="5">
        <f>578.45</f>
        <v>0.0</v>
      </c>
    </row>
    <row r="87">
      <c r="A87" t="s" s="3">
        <v>82</v>
      </c>
      <c r="B87" t="n" s="6">
        <f>(((B83)+(B84))+(B85))+(B86)</f>
        <v>0.0</v>
      </c>
    </row>
    <row r="88">
      <c r="A88" t="s" s="3">
        <v>83</v>
      </c>
      <c r="B88" t="n" s="5">
        <f>21602.28</f>
        <v>0.0</v>
      </c>
    </row>
    <row r="89">
      <c r="A89" t="s" s="3">
        <v>84</v>
      </c>
      <c r="B89" t="n" s="6">
        <f>(((B76)+(B82))+(B87))+(B88)</f>
        <v>0.0</v>
      </c>
    </row>
    <row r="90">
      <c r="A90" t="s" s="3">
        <v>85</v>
      </c>
      <c r="B90" t="n" s="5">
        <f>404.92</f>
        <v>0.0</v>
      </c>
    </row>
    <row r="91">
      <c r="A91" t="s" s="3">
        <v>86</v>
      </c>
      <c r="B91" t="n" s="5">
        <f>2926.02</f>
        <v>0.0</v>
      </c>
    </row>
    <row r="92">
      <c r="A92" t="s" s="3">
        <v>87</v>
      </c>
      <c r="B92" t="n" s="5">
        <f>1486.32</f>
        <v>0.0</v>
      </c>
    </row>
    <row r="93">
      <c r="A93" t="s" s="3">
        <v>88</v>
      </c>
      <c r="B93" t="n" s="5">
        <f>6263.86</f>
        <v>0.0</v>
      </c>
    </row>
    <row r="94">
      <c r="A94" t="s" s="3">
        <v>89</v>
      </c>
      <c r="B94" t="n" s="5">
        <f>5018.29</f>
        <v>0.0</v>
      </c>
    </row>
    <row r="95">
      <c r="A95" t="s" s="3">
        <v>90</v>
      </c>
      <c r="B95" t="n" s="6">
        <f>((((B90)+(B91))+(B92))+(B93))+(B94)</f>
        <v>0.0</v>
      </c>
    </row>
    <row r="96">
      <c r="A96" t="s" s="3">
        <v>91</v>
      </c>
      <c r="B96" t="n" s="5">
        <f>2890.95</f>
        <v>0.0</v>
      </c>
    </row>
    <row r="97">
      <c r="A97" t="s" s="3">
        <v>92</v>
      </c>
      <c r="B97" t="n" s="5">
        <f>2440.86</f>
        <v>0.0</v>
      </c>
    </row>
    <row r="98">
      <c r="A98" t="s" s="3">
        <v>93</v>
      </c>
      <c r="B98" t="n" s="5">
        <f>1054.70</f>
        <v>0.0</v>
      </c>
    </row>
    <row r="99">
      <c r="A99" t="s" s="3">
        <v>94</v>
      </c>
      <c r="B99" t="n" s="5">
        <f>7376.94</f>
        <v>0.0</v>
      </c>
    </row>
    <row r="100">
      <c r="A100" t="s" s="3">
        <v>95</v>
      </c>
      <c r="B100" t="n" s="5">
        <f>1802.71</f>
        <v>0.0</v>
      </c>
    </row>
    <row r="101">
      <c r="A101" t="s" s="3">
        <v>96</v>
      </c>
      <c r="B101" t="n" s="6">
        <f>((((B96)+(B97))+(B98))+(B99))+(B100)</f>
        <v>0.0</v>
      </c>
    </row>
    <row r="102">
      <c r="A102" t="s" s="3">
        <v>97</v>
      </c>
      <c r="B102" t="n" s="5">
        <f>273.32</f>
        <v>0.0</v>
      </c>
    </row>
    <row r="103">
      <c r="A103" t="s" s="3">
        <v>98</v>
      </c>
      <c r="B103" t="n" s="5">
        <f>16530.48</f>
        <v>0.0</v>
      </c>
    </row>
    <row r="104">
      <c r="A104" t="s" s="3">
        <v>99</v>
      </c>
      <c r="B104" t="n" s="5">
        <f>833.04</f>
        <v>0.0</v>
      </c>
    </row>
    <row r="105">
      <c r="A105" t="s" s="3">
        <v>100</v>
      </c>
      <c r="B105" t="n" s="5">
        <f>771.04</f>
        <v>0.0</v>
      </c>
    </row>
    <row r="106">
      <c r="A106" t="s" s="3">
        <v>101</v>
      </c>
      <c r="B106" t="n" s="6">
        <f>((B103)+(B104))+(B105)</f>
        <v>0.0</v>
      </c>
    </row>
    <row r="107">
      <c r="A107" t="s" s="3">
        <v>102</v>
      </c>
      <c r="B107" t="n" s="5">
        <f>72.45</f>
        <v>0.0</v>
      </c>
    </row>
    <row r="108">
      <c r="A108" t="s" s="3">
        <v>103</v>
      </c>
      <c r="B108" t="n" s="5">
        <f>10738.77</f>
        <v>0.0</v>
      </c>
    </row>
    <row r="109">
      <c r="A109" t="s" s="3">
        <v>104</v>
      </c>
      <c r="B109" t="n" s="5">
        <f>337.90</f>
        <v>0.0</v>
      </c>
    </row>
    <row r="110">
      <c r="A110" t="s" s="3">
        <v>105</v>
      </c>
      <c r="B110" t="n" s="5">
        <f>1005.09</f>
        <v>0.0</v>
      </c>
    </row>
    <row r="111">
      <c r="A111" t="s" s="3">
        <v>106</v>
      </c>
      <c r="B111" t="n" s="5">
        <f>1193.99</f>
        <v>0.0</v>
      </c>
    </row>
    <row r="112">
      <c r="A112" t="s" s="3">
        <v>107</v>
      </c>
      <c r="B112" t="n" s="5">
        <f>1276.27</f>
        <v>0.0</v>
      </c>
    </row>
    <row r="113">
      <c r="A113" t="s" s="3">
        <v>108</v>
      </c>
      <c r="B113" t="n" s="5">
        <f>6398.38</f>
        <v>0.0</v>
      </c>
    </row>
    <row r="114">
      <c r="A114" t="s" s="3">
        <v>109</v>
      </c>
      <c r="B114" t="n" s="6">
        <f>(B112)+(B113)</f>
        <v>0.0</v>
      </c>
    </row>
    <row r="115">
      <c r="A115" t="s" s="3">
        <v>110</v>
      </c>
      <c r="B115" t="n" s="5">
        <f>3.70</f>
        <v>0.0</v>
      </c>
    </row>
    <row r="116">
      <c r="A116" t="s" s="3">
        <v>111</v>
      </c>
      <c r="B116" t="n" s="5">
        <f>26485.12</f>
        <v>0.0</v>
      </c>
    </row>
    <row r="117">
      <c r="A117" t="s" s="3">
        <v>112</v>
      </c>
      <c r="B117" t="n" s="5">
        <f>168.28</f>
        <v>0.0</v>
      </c>
    </row>
    <row r="118">
      <c r="A118" t="s" s="3">
        <v>113</v>
      </c>
      <c r="B118" t="n" s="5">
        <f>3613.80</f>
        <v>0.0</v>
      </c>
    </row>
    <row r="119">
      <c r="A119" t="s" s="3">
        <v>114</v>
      </c>
      <c r="B119" t="n" s="5">
        <f>4877.43</f>
        <v>0.0</v>
      </c>
    </row>
    <row r="120">
      <c r="A120" t="s" s="3">
        <v>115</v>
      </c>
      <c r="B120" s="4"/>
    </row>
    <row r="121">
      <c r="A121" t="s" s="3">
        <v>116</v>
      </c>
      <c r="B121" t="n" s="5">
        <f>14837.37</f>
        <v>0.0</v>
      </c>
    </row>
    <row r="122">
      <c r="A122" t="s" s="3">
        <v>117</v>
      </c>
      <c r="B122" t="n" s="5">
        <f>10151.91</f>
        <v>0.0</v>
      </c>
    </row>
    <row r="123">
      <c r="A123" t="s" s="3">
        <v>118</v>
      </c>
      <c r="B123" t="n" s="5">
        <f>5394.34</f>
        <v>0.0</v>
      </c>
    </row>
    <row r="124">
      <c r="A124" t="s" s="3">
        <v>119</v>
      </c>
      <c r="B124" t="n" s="5">
        <f>4042.42</f>
        <v>0.0</v>
      </c>
    </row>
    <row r="125">
      <c r="A125" t="s" s="3">
        <v>120</v>
      </c>
      <c r="B125" t="n" s="5">
        <f>17535.86</f>
        <v>0.0</v>
      </c>
    </row>
    <row r="126">
      <c r="A126" t="s" s="3">
        <v>121</v>
      </c>
      <c r="B126" t="n" s="6">
        <f>(((((B120)+(B121))+(B122))+(B123))+(B124))+(B125)</f>
        <v>0.0</v>
      </c>
    </row>
    <row r="127">
      <c r="A127" t="s" s="3">
        <v>122</v>
      </c>
      <c r="B127" t="n" s="6">
        <f>((B118)+(B119))+(B126)</f>
        <v>0.0</v>
      </c>
    </row>
    <row r="128">
      <c r="A128" t="s" s="3">
        <v>123</v>
      </c>
      <c r="B128" t="n" s="5">
        <f>5261.50</f>
        <v>0.0</v>
      </c>
    </row>
    <row r="129">
      <c r="A129" t="s" s="3">
        <v>124</v>
      </c>
      <c r="B129" t="n" s="5">
        <f>843.53</f>
        <v>0.0</v>
      </c>
    </row>
    <row r="130">
      <c r="A130" t="s" s="3">
        <v>125</v>
      </c>
      <c r="B130" t="n" s="5">
        <f>461.24</f>
        <v>0.0</v>
      </c>
    </row>
    <row r="131">
      <c r="A131" t="s" s="3">
        <v>126</v>
      </c>
      <c r="B131" t="n" s="5">
        <f>2221.83</f>
        <v>0.0</v>
      </c>
    </row>
    <row r="132">
      <c r="A132" t="s" s="3">
        <v>127</v>
      </c>
      <c r="B132" t="n" s="6">
        <f>(((B128)+(B129))+(B130))+(B131)</f>
        <v>0.0</v>
      </c>
    </row>
    <row r="133">
      <c r="A133" t="s" s="3">
        <v>128</v>
      </c>
      <c r="B133" t="n" s="5">
        <f>30.00</f>
        <v>0.0</v>
      </c>
    </row>
    <row r="134">
      <c r="A134" t="s" s="3">
        <v>129</v>
      </c>
      <c r="B134" t="n" s="5">
        <f>1070.09</f>
        <v>0.0</v>
      </c>
    </row>
    <row r="135">
      <c r="A135" t="s" s="3">
        <v>130</v>
      </c>
      <c r="B135" t="n" s="5">
        <f>20847.97</f>
        <v>0.0</v>
      </c>
    </row>
    <row r="136">
      <c r="A136" t="s" s="3">
        <v>131</v>
      </c>
      <c r="B136" t="n" s="5">
        <f>23920.28</f>
        <v>0.0</v>
      </c>
    </row>
    <row r="137">
      <c r="A137" t="s" s="3">
        <v>132</v>
      </c>
      <c r="B137" t="n" s="6">
        <f>((B134)+(B135))+(B136)</f>
        <v>0.0</v>
      </c>
    </row>
    <row r="138">
      <c r="A138" t="s" s="3">
        <v>133</v>
      </c>
      <c r="B138" t="n" s="6">
        <f>(((((((((((((((((((((((((((((((((B31)+(B32))+(B42))+(B43))+(B44))+(B45))+(B55))+(B56))+(B57))+(B61))+(B70))+(B71))+(B72))+(B73))+(B74))+(B75))+(B89))+(B95))+(B101))+(B102))+(B106))+(B107))+(B108))+(B109))+(B110))+(B111))+(B114))+(B115))+(B116))+(B117))+(B127))+(B132))+(B133))+(B137)</f>
        <v>0.0</v>
      </c>
    </row>
    <row r="139">
      <c r="A139" t="s" s="3">
        <v>134</v>
      </c>
      <c r="B139" t="n" s="6">
        <f>(B27)-(B138)</f>
        <v>0.0</v>
      </c>
    </row>
    <row r="140">
      <c r="A140" t="s" s="3">
        <v>135</v>
      </c>
      <c r="B140" s="4"/>
    </row>
    <row r="141">
      <c r="A141" t="s" s="3">
        <v>136</v>
      </c>
      <c r="B141" t="n" s="5">
        <f>3371.04</f>
        <v>0.0</v>
      </c>
    </row>
    <row r="142">
      <c r="A142" t="s" s="3">
        <v>137</v>
      </c>
      <c r="B142" t="n" s="5">
        <f>14533.76</f>
        <v>0.0</v>
      </c>
    </row>
    <row r="143">
      <c r="A143" t="s" s="3">
        <v>138</v>
      </c>
      <c r="B143" t="n" s="5">
        <f>-6159.69</f>
        <v>0.0</v>
      </c>
    </row>
    <row r="144">
      <c r="A144" t="s" s="3">
        <v>139</v>
      </c>
      <c r="B144" t="n" s="6">
        <f>((B141)+(B142))+(B143)</f>
        <v>0.0</v>
      </c>
    </row>
    <row r="145">
      <c r="A145" t="s" s="3">
        <v>140</v>
      </c>
      <c r="B145" s="4"/>
    </row>
    <row r="146">
      <c r="A146" t="s" s="3">
        <v>141</v>
      </c>
      <c r="B146" t="n" s="5">
        <f>-2116.10</f>
        <v>0.0</v>
      </c>
    </row>
    <row r="147">
      <c r="A147" t="s" s="3">
        <v>142</v>
      </c>
      <c r="B147" t="n" s="5">
        <f>2747.24</f>
        <v>0.0</v>
      </c>
    </row>
    <row r="148">
      <c r="A148" t="s" s="3">
        <v>143</v>
      </c>
      <c r="B148" t="n" s="5">
        <f>-546.45</f>
        <v>0.0</v>
      </c>
    </row>
    <row r="149">
      <c r="A149" t="s" s="3">
        <v>144</v>
      </c>
      <c r="B149" t="n" s="6">
        <f>((B146)+(B147))+(B148)</f>
        <v>0.0</v>
      </c>
    </row>
    <row r="150">
      <c r="A150" t="s" s="3">
        <v>145</v>
      </c>
      <c r="B150" t="n" s="6">
        <f>(B144)-(B149)</f>
        <v>0.0</v>
      </c>
    </row>
    <row r="151">
      <c r="A151" t="s" s="3">
        <v>146</v>
      </c>
      <c r="B151" t="n" s="7">
        <f>(B139)+(B150)</f>
        <v>0.0</v>
      </c>
    </row>
    <row r="152">
      <c r="A152" s="3"/>
      <c r="B152" s="4"/>
    </row>
    <row r="155">
      <c r="A155" s="8" t="s">
        <v>147</v>
      </c>
      <c r="B155"/>
    </row>
  </sheetData>
  <mergeCells count="4">
    <mergeCell ref="A155:B155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2023-08-29T20:23:04Z</dcterms:created>
  <dc:creator>Apache POI</dc:creator>
</cp:coreProperties>
</file>