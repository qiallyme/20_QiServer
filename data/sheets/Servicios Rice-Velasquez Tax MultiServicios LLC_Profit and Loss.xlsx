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<sst xmlns="http://schemas.openxmlformats.org/spreadsheetml/2006/main" count="133" uniqueCount="133">
  <si>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</si>
  <si>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</si>
  <si>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</si>
  <si>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</si>
  <si>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</si>
  <si>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</si>
  <si>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</si>
  <si>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</si>
  <si>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</si>
  <si>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</si>
  <si>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</si>
  <si>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Total</t>
  </si>
  <si>
    <t>Income</t>
  </si>
  <si>
    <t xml:space="preserve">   4.1.0.0 Accounting Services</t>
  </si>
  <si>
    <t xml:space="preserve">   4.2.0.0 Tax Service</t>
  </si>
  <si>
    <t xml:space="preserve">   4.3.0.0 Consulting (deleted)</t>
  </si>
  <si>
    <t xml:space="preserve">   4.4.0.0 Documents</t>
  </si>
  <si>
    <t xml:space="preserve">      4.4.0.9999 Document (Deprecated)</t>
  </si>
  <si>
    <t xml:space="preserve">   Total 4.4.0.0 Documents</t>
  </si>
  <si>
    <t xml:space="preserve">   4.5.0.0 *Other*</t>
  </si>
  <si>
    <t xml:space="preserve">      4.5.2.0 State Filings</t>
  </si>
  <si>
    <t xml:space="preserve">      4.5.3.0 Plate Services</t>
  </si>
  <si>
    <t xml:space="preserve">      4.5.5.0_2 Interest Income (deleted)</t>
  </si>
  <si>
    <t xml:space="preserve">      4.5.9.0 Tips</t>
  </si>
  <si>
    <t xml:space="preserve">      Markup</t>
  </si>
  <si>
    <t xml:space="preserve">   Total 4.5.0.0 *Other*</t>
  </si>
  <si>
    <t xml:space="preserve">   4.6.0.0 *Commissions*</t>
  </si>
  <si>
    <t xml:space="preserve">      4.6.1.0 Barri Commissions</t>
  </si>
  <si>
    <t xml:space="preserve">      4.6.2.0 Ria Commissions</t>
  </si>
  <si>
    <t xml:space="preserve">   Total 4.6.0.0 *Commissions*</t>
  </si>
  <si>
    <t xml:space="preserve">   4.7.0.0 *Financial*</t>
  </si>
  <si>
    <t xml:space="preserve">      4.7.1.0 Barri ($-IN)</t>
  </si>
  <si>
    <t xml:space="preserve">      4.7.3.0 Afex ($-IN)</t>
  </si>
  <si>
    <t xml:space="preserve">      4.7.4.0 Bill Pay ($-IN)</t>
  </si>
  <si>
    <t xml:space="preserve">      4.7.5.0 Boss Revolution ($-IN)</t>
  </si>
  <si>
    <t xml:space="preserve">      4.7.6.0 La Fuente Cargos</t>
  </si>
  <si>
    <t xml:space="preserve">   Total 4.7.0.0 *Financial*</t>
  </si>
  <si>
    <t xml:space="preserve">   4.8.0.0 Product Sales</t>
  </si>
  <si>
    <t xml:space="preserve">      4.8.0.999 Product Sales (Deprecated)</t>
  </si>
  <si>
    <t xml:space="preserve">      QuickBooks Payments Sales (Deprecated)</t>
  </si>
  <si>
    <t xml:space="preserve">   Total 4.8.0.0 Product Sales</t>
  </si>
  <si>
    <t xml:space="preserve">   4.9.0.0 Cash Back (deleted)</t>
  </si>
  <si>
    <t xml:space="preserve">   Discount Income</t>
  </si>
  <si>
    <t xml:space="preserve">   Discounts given</t>
  </si>
  <si>
    <t xml:space="preserve">   Sales (deleted-1)</t>
  </si>
  <si>
    <t xml:space="preserve">   Sales of Product Income</t>
  </si>
  <si>
    <t xml:space="preserve">   Services (Deprecated)</t>
  </si>
  <si>
    <t xml:space="preserve">      4.5.7.0 Officiant Services</t>
  </si>
  <si>
    <t xml:space="preserve">      4.5.8.0 Notary Services</t>
  </si>
  <si>
    <t xml:space="preserve">      Other Commissions (Deprecated)</t>
  </si>
  <si>
    <t xml:space="preserve">   Total Services (Deprecated)</t>
  </si>
  <si>
    <t xml:space="preserve">   Square Income</t>
  </si>
  <si>
    <t>Total Income</t>
  </si>
  <si>
    <t>Cost of Goods Sold</t>
  </si>
  <si>
    <t xml:space="preserve">   5.1.0.0 Cost of Product Sales</t>
  </si>
  <si>
    <t xml:space="preserve">      5.1.1.0 Inventory Shrinkage (deleted)</t>
  </si>
  <si>
    <t xml:space="preserve">   Total 5.1.0.0 Cost of Product Sales</t>
  </si>
  <si>
    <t xml:space="preserve">   5.2.0.0 Accounting COGS</t>
  </si>
  <si>
    <t xml:space="preserve">      5.2.1.0 QuickBooks Account Fees COGS ($-Out) (deleted)</t>
  </si>
  <si>
    <t xml:space="preserve">      5.2.2.0 QuickBooks Payroll Fees COGS ($-Out) (deleted)</t>
  </si>
  <si>
    <t xml:space="preserve">   Total 5.2.0.0 Accounting COGS</t>
  </si>
  <si>
    <t xml:space="preserve">   5.3.0.0 Cost of Finance Sales</t>
  </si>
  <si>
    <t xml:space="preserve">      5.3.1.0 Barri COGS ($-Out) (deleted)</t>
  </si>
  <si>
    <t xml:space="preserve">      5.3.2.0 Afex COGS ($-Out) (deleted)</t>
  </si>
  <si>
    <t xml:space="preserve">      5.3.3.0 Ria Expense COGS ($-Out) (deleted)</t>
  </si>
  <si>
    <t xml:space="preserve">      5.3.4.0 Boss Revolution COGS ($-Out) (deleted)</t>
  </si>
  <si>
    <t xml:space="preserve">      5.3.5.0 Check Cashing COGS ($Out)</t>
  </si>
  <si>
    <t xml:space="preserve">   Total 5.3.0.0 Cost of Finance Sales</t>
  </si>
  <si>
    <t xml:space="preserve">   5.4.0.0 Tax Prep COGS ($-Out) (deleted)</t>
  </si>
  <si>
    <t xml:space="preserve">      5.4.1.0 ProConnect Returns Order COGS ($-Out)  (Deprecated) (deleted)</t>
  </si>
  <si>
    <t xml:space="preserve">   Total 5.4.0.0 Tax Prep COGS ($-Out) (deleted)</t>
  </si>
  <si>
    <t xml:space="preserve">   5.5.0.0 Cost of Service Sales (deleted)</t>
  </si>
  <si>
    <t xml:space="preserve">      5.5.2.0 INBIZ SOS COGS ($-Out) (deleted)</t>
  </si>
  <si>
    <t xml:space="preserve">      5.5.3.0 BMV COGS ($-Out) (deleted)</t>
  </si>
  <si>
    <t xml:space="preserve">      5.5.4.0 Bill Pay COGS ($-Out) (deleted)</t>
  </si>
  <si>
    <t xml:space="preserve">      5.5.5.0 La Fuente Cargos Expense COGS ($-Out) (deleted)</t>
  </si>
  <si>
    <t xml:space="preserve">   Total 5.5.0.0 Cost of Service Sales (deleted)</t>
  </si>
  <si>
    <t>Total Cost of Goods Sold</t>
  </si>
  <si>
    <t>Gross Profit</t>
  </si>
  <si>
    <t>Expenses</t>
  </si>
  <si>
    <t xml:space="preserve">   00-509 Advertising &amp; Marketing (deleted)</t>
  </si>
  <si>
    <t xml:space="preserve">   00-520 Job Supplies (deleted)</t>
  </si>
  <si>
    <t xml:space="preserve">   00-528 Legal &amp; Professional Services (deleted)</t>
  </si>
  <si>
    <t xml:space="preserve">   00-530 Utilities (deleted)</t>
  </si>
  <si>
    <t xml:space="preserve">      00-531 Telecom/Internet (deleted)</t>
  </si>
  <si>
    <t xml:space="preserve">      02-530 Municipal Utilities (deleted)</t>
  </si>
  <si>
    <t xml:space="preserve">   Total 00-530 Utilities (deleted)</t>
  </si>
  <si>
    <t xml:space="preserve">   00-545 Insurance (deleted)</t>
  </si>
  <si>
    <t xml:space="preserve">   00-546 Interest Paid (deleted)</t>
  </si>
  <si>
    <t xml:space="preserve">   00-552 Dues &amp; Subscriptions (deleted)</t>
  </si>
  <si>
    <t xml:space="preserve">   00-559 Security</t>
  </si>
  <si>
    <t xml:space="preserve">   00-561 Bank Charges &amp; Fees (deleted)</t>
  </si>
  <si>
    <t xml:space="preserve">      00-562 Account Maintenance (deleted)</t>
  </si>
  <si>
    <t xml:space="preserve">      00-563 Cash Deposit Fees (deleted)</t>
  </si>
  <si>
    <t xml:space="preserve">      00-564 Insufficient Funds Fee (deleted)</t>
  </si>
  <si>
    <t xml:space="preserve">      00-565 QuickBooks Payments Fees (deleted)</t>
  </si>
  <si>
    <t xml:space="preserve">      Service Fees (deleted)</t>
  </si>
  <si>
    <t xml:space="preserve">   Total 00-561 Bank Charges &amp; Fees (deleted)</t>
  </si>
  <si>
    <t xml:space="preserve">   00-569 Meals &amp; Entertainment (deleted)</t>
  </si>
  <si>
    <t xml:space="preserve">   00-570 Car &amp; Truck (deleted)</t>
  </si>
  <si>
    <t xml:space="preserve">   00-580 Payroll Expenses (deleted)</t>
  </si>
  <si>
    <t xml:space="preserve">      00-581 Company Contributions (deleted)</t>
  </si>
  <si>
    <t xml:space="preserve">         00-582 Retirement (deleted)</t>
  </si>
  <si>
    <t xml:space="preserve">      Total 00-581 Company Contributions (deleted)</t>
  </si>
  <si>
    <t xml:space="preserve">      00-583 Taxes (deleted)</t>
  </si>
  <si>
    <t xml:space="preserve">      00-584 Wages (deleted)</t>
  </si>
  <si>
    <t xml:space="preserve">   Total 00-580 Payroll Expenses (deleted)</t>
  </si>
  <si>
    <t xml:space="preserve">   00-587 Uncategorized Expense</t>
  </si>
  <si>
    <t xml:space="preserve">   00-589 Contractors</t>
  </si>
  <si>
    <t xml:space="preserve">   00-591 Bad Debt (deleted)</t>
  </si>
  <si>
    <t xml:space="preserve">   Office Supplies &amp; Software (deleted)</t>
  </si>
  <si>
    <t xml:space="preserve">   QuickBooks Payments Fees</t>
  </si>
  <si>
    <t xml:space="preserve">   Reimbursements (deleted)</t>
  </si>
  <si>
    <t xml:space="preserve">   Rent &amp; Lease (deleted)</t>
  </si>
  <si>
    <t xml:space="preserve">   Shipping &amp; Handling (deleted)</t>
  </si>
  <si>
    <t xml:space="preserve">   Square Fees</t>
  </si>
  <si>
    <t xml:space="preserve">   Taxes &amp; Licenses (deleted)</t>
  </si>
  <si>
    <t xml:space="preserve">   Travel (deleted)</t>
  </si>
  <si>
    <t>Total Expenses</t>
  </si>
  <si>
    <t>Net Operating Income</t>
  </si>
  <si>
    <t>Other Income</t>
  </si>
  <si>
    <t xml:space="preserve">   00-451 Credit Card Fees</t>
  </si>
  <si>
    <t xml:space="preserve">   4.5.11.0 Late Fees</t>
  </si>
  <si>
    <t>Total Other Income</t>
  </si>
  <si>
    <t>Other Expenses</t>
  </si>
  <si>
    <t xml:space="preserve">   Reconciliation Discrepancies</t>
  </si>
  <si>
    <t>Total Other Expenses</t>
  </si>
  <si>
    <t>Net Other Income</t>
  </si>
  <si>
    <t>Net Income</t>
  </si>
  <si>
    <t>Monday, Dec 04, 2023 10:54:36 PM GMT-8 - Accrual Basis</t>
  </si>
  <si>
    <t>Servicios Rice-Velasquez Tax MultiServicios LLC</t>
  </si>
  <si>
    <t>Profit and Loss</t>
  </si>
  <si>
    <t>January - November,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</si>
</sst>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6"/>
  <sheetViews>
    <sheetView workbookViewId="0" tabSelected="true"/>
  </sheetViews>
  <sheetFormatPr defaultRowHeight="15.0"/>
  <cols>
    <col min="1" max="1" width="65.3125" customWidth="true"/>
    <col min="2" max="2" width="11.171875" customWidth="true"/>
    <col min="3" max="3" width="11.171875" customWidth="true"/>
    <col min="4" max="4" width="10.3125" customWidth="true"/>
    <col min="5" max="5" width="10.3125" customWidth="true"/>
    <col min="6" max="6" width="10.3125" customWidth="true"/>
    <col min="7" max="7" width="8.59375" customWidth="true"/>
    <col min="8" max="8" width="9.453125" customWidth="true"/>
    <col min="9" max="9" width="8.59375" customWidth="true"/>
    <col min="10" max="10" width="8.59375" customWidth="true"/>
    <col min="11" max="11" width="8.59375" customWidth="true"/>
    <col min="12" max="12" width="7.734375" customWidth="true"/>
    <col min="13" max="13" width="11.171875" customWidth="true"/>
  </cols>
  <sheetData>
    <row r="1">
      <c r="A1" s="9" t="s">
        <v>130</v>
      </c>
      <c r="B1"/>
      <c r="C1"/>
      <c r="D1"/>
      <c r="E1"/>
      <c r="F1"/>
      <c r="G1"/>
      <c r="H1"/>
      <c r="I1"/>
      <c r="J1"/>
      <c r="K1"/>
      <c r="L1"/>
      <c r="M1"/>
    </row>
    <row r="2">
      <c r="A2" s="9" t="s">
        <v>131</v>
      </c>
      <c r="B2"/>
      <c r="C2"/>
      <c r="D2"/>
      <c r="E2"/>
      <c r="F2"/>
      <c r="G2"/>
      <c r="H2"/>
      <c r="I2"/>
      <c r="J2"/>
      <c r="K2"/>
      <c r="L2"/>
      <c r="M2"/>
    </row>
    <row r="3">
      <c r="A3" s="10" t="s">
        <v>132</v>
      </c>
      <c r="B3"/>
      <c r="C3"/>
      <c r="D3"/>
      <c r="E3"/>
      <c r="F3"/>
      <c r="G3"/>
      <c r="H3"/>
      <c r="I3"/>
      <c r="J3"/>
      <c r="K3"/>
      <c r="L3"/>
      <c r="M3"/>
    </row>
    <row r="5">
      <c r="A5" s="1"/>
      <c r="B5" t="s" s="2">
        <v>0</v>
      </c>
      <c r="C5" t="s" s="2">
        <v>1</v>
      </c>
      <c r="D5" t="s" s="2">
        <v>2</v>
      </c>
      <c r="E5" t="s" s="2">
        <v>3</v>
      </c>
      <c r="F5" t="s" s="2">
        <v>4</v>
      </c>
      <c r="G5" t="s" s="2">
        <v>5</v>
      </c>
      <c r="H5" t="s" s="2">
        <v>6</v>
      </c>
      <c r="I5" t="s" s="2">
        <v>7</v>
      </c>
      <c r="J5" t="s" s="2">
        <v>8</v>
      </c>
      <c r="K5" t="s" s="2">
        <v>9</v>
      </c>
      <c r="L5" t="s" s="2">
        <v>10</v>
      </c>
      <c r="M5" t="s" s="2">
        <v>11</v>
      </c>
    </row>
    <row r="6">
      <c r="A6" t="s" s="3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t="s" s="3">
        <v>13</v>
      </c>
      <c r="B7" t="n" s="5">
        <f>6022.86</f>
        <v>0.0</v>
      </c>
      <c r="C7" t="n" s="5">
        <f>5890.30</f>
        <v>0.0</v>
      </c>
      <c r="D7" t="n" s="5">
        <f>5305.00</f>
        <v>0.0</v>
      </c>
      <c r="E7" t="n" s="5">
        <f>4323.50</f>
        <v>0.0</v>
      </c>
      <c r="F7" t="n" s="5">
        <f>3973.50</f>
        <v>0.0</v>
      </c>
      <c r="G7" t="n" s="5">
        <f>4074.00</f>
        <v>0.0</v>
      </c>
      <c r="H7" t="n" s="5">
        <f>2122.00</f>
        <v>0.0</v>
      </c>
      <c r="I7" t="n" s="5">
        <f>590.00</f>
        <v>0.0</v>
      </c>
      <c r="J7" t="n" s="5">
        <f>445.00</f>
        <v>0.0</v>
      </c>
      <c r="K7" s="4"/>
      <c r="L7" s="4"/>
      <c r="M7" t="n" s="5">
        <f>((((((((((B7)+(C7))+(D7))+(E7))+(F7))+(G7))+(H7))+(I7))+(J7))+(K7))+(L7)</f>
        <v>0.0</v>
      </c>
    </row>
    <row r="8">
      <c r="A8" t="s" s="3">
        <v>14</v>
      </c>
      <c r="B8" t="n" s="5">
        <f>5920.00</f>
        <v>0.0</v>
      </c>
      <c r="C8" t="n" s="5">
        <f>13969.61</f>
        <v>0.0</v>
      </c>
      <c r="D8" t="n" s="5">
        <f>10645.00</f>
        <v>0.0</v>
      </c>
      <c r="E8" t="n" s="5">
        <f>8570.00</f>
        <v>0.0</v>
      </c>
      <c r="F8" t="n" s="5">
        <f>2348.00</f>
        <v>0.0</v>
      </c>
      <c r="G8" t="n" s="5">
        <f>1004.00</f>
        <v>0.0</v>
      </c>
      <c r="H8" t="n" s="5">
        <f>1468.00</f>
        <v>0.0</v>
      </c>
      <c r="I8" s="4"/>
      <c r="J8" s="4"/>
      <c r="K8" s="4"/>
      <c r="L8" t="n" s="5">
        <f>0.00</f>
        <v>0.0</v>
      </c>
      <c r="M8" t="n" s="5">
        <f>((((((((((B8)+(C8))+(D8))+(E8))+(F8))+(G8))+(H8))+(I8))+(J8))+(K8))+(L8)</f>
        <v>0.0</v>
      </c>
    </row>
    <row r="9">
      <c r="A9" t="s" s="3">
        <v>15</v>
      </c>
      <c r="B9" s="4"/>
      <c r="C9" s="4"/>
      <c r="D9" s="4"/>
      <c r="E9" s="4"/>
      <c r="F9" s="4"/>
      <c r="G9" s="4"/>
      <c r="H9" s="4"/>
      <c r="I9" t="n" s="5">
        <f>20.00</f>
        <v>0.0</v>
      </c>
      <c r="J9" s="4"/>
      <c r="K9" s="4"/>
      <c r="L9" s="4"/>
      <c r="M9" t="n" s="5">
        <f>((((((((((B9)+(C9))+(D9))+(E9))+(F9))+(G9))+(H9))+(I9))+(J9))+(K9))+(L9)</f>
        <v>0.0</v>
      </c>
    </row>
    <row r="10">
      <c r="A10" t="s" s="3">
        <v>16</v>
      </c>
      <c r="B10" t="n" s="5">
        <f>1050.00</f>
        <v>0.0</v>
      </c>
      <c r="C10" t="n" s="5">
        <f>1360.00</f>
        <v>0.0</v>
      </c>
      <c r="D10" t="n" s="5">
        <f>1215.00</f>
        <v>0.0</v>
      </c>
      <c r="E10" t="n" s="5">
        <f>400.00</f>
        <v>0.0</v>
      </c>
      <c r="F10" t="n" s="5">
        <f>515.00</f>
        <v>0.0</v>
      </c>
      <c r="G10" t="n" s="5">
        <f>515.00</f>
        <v>0.0</v>
      </c>
      <c r="H10" t="n" s="5">
        <f>714.00</f>
        <v>0.0</v>
      </c>
      <c r="I10" s="4"/>
      <c r="J10" s="4"/>
      <c r="K10" s="4"/>
      <c r="L10" s="4"/>
      <c r="M10" t="n" s="5">
        <f>((((((((((B10)+(C10))+(D10))+(E10))+(F10))+(G10))+(H10))+(I10))+(J10))+(K10))+(L10)</f>
        <v>0.0</v>
      </c>
    </row>
    <row r="11">
      <c r="A11" t="s" s="3">
        <v>17</v>
      </c>
      <c r="B11" t="n" s="5">
        <f>580.00</f>
        <v>0.0</v>
      </c>
      <c r="C11" t="n" s="5">
        <f>602.24</f>
        <v>0.0</v>
      </c>
      <c r="D11" t="n" s="5">
        <f>520.00</f>
        <v>0.0</v>
      </c>
      <c r="E11" t="n" s="5">
        <f>287.00</f>
        <v>0.0</v>
      </c>
      <c r="F11" t="n" s="5">
        <f>287.00</f>
        <v>0.0</v>
      </c>
      <c r="G11" t="n" s="5">
        <f>458.00</f>
        <v>0.0</v>
      </c>
      <c r="H11" t="n" s="5">
        <f>668.00</f>
        <v>0.0</v>
      </c>
      <c r="I11" s="4"/>
      <c r="J11" s="4"/>
      <c r="K11" s="4"/>
      <c r="L11" s="4"/>
      <c r="M11" t="n" s="5">
        <f>((((((((((B11)+(C11))+(D11))+(E11))+(F11))+(G11))+(H11))+(I11))+(J11))+(K11))+(L11)</f>
        <v>0.0</v>
      </c>
    </row>
    <row r="12">
      <c r="A12" t="s" s="3">
        <v>18</v>
      </c>
      <c r="B12" t="n" s="6">
        <f>(B10)+(B11)</f>
        <v>0.0</v>
      </c>
      <c r="C12" t="n" s="6">
        <f>(C10)+(C11)</f>
        <v>0.0</v>
      </c>
      <c r="D12" t="n" s="6">
        <f>(D10)+(D11)</f>
        <v>0.0</v>
      </c>
      <c r="E12" t="n" s="6">
        <f>(E10)+(E11)</f>
        <v>0.0</v>
      </c>
      <c r="F12" t="n" s="6">
        <f>(F10)+(F11)</f>
        <v>0.0</v>
      </c>
      <c r="G12" t="n" s="6">
        <f>(G10)+(G11)</f>
        <v>0.0</v>
      </c>
      <c r="H12" t="n" s="6">
        <f>(H10)+(H11)</f>
        <v>0.0</v>
      </c>
      <c r="I12" t="n" s="6">
        <f>(I10)+(I11)</f>
        <v>0.0</v>
      </c>
      <c r="J12" t="n" s="6">
        <f>(J10)+(J11)</f>
        <v>0.0</v>
      </c>
      <c r="K12" t="n" s="6">
        <f>(K10)+(K11)</f>
        <v>0.0</v>
      </c>
      <c r="L12" t="n" s="6">
        <f>(L10)+(L11)</f>
        <v>0.0</v>
      </c>
      <c r="M12" t="n" s="6">
        <f>((((((((((B12)+(C12))+(D12))+(E12))+(F12))+(G12))+(H12))+(I12))+(J12))+(K12))+(L12)</f>
        <v>0.0</v>
      </c>
    </row>
    <row r="13">
      <c r="A13" t="s" s="3">
        <v>19</v>
      </c>
      <c r="B13" t="n" s="5">
        <f>1182.00</f>
        <v>0.0</v>
      </c>
      <c r="C13" t="n" s="5">
        <f>1204.00</f>
        <v>0.0</v>
      </c>
      <c r="D13" t="n" s="5">
        <f>1029.00</f>
        <v>0.0</v>
      </c>
      <c r="E13" t="n" s="5">
        <f>1644.39</f>
        <v>0.0</v>
      </c>
      <c r="F13" t="n" s="5">
        <f>379.00</f>
        <v>0.0</v>
      </c>
      <c r="G13" t="n" s="5">
        <f>906.00</f>
        <v>0.0</v>
      </c>
      <c r="H13" t="n" s="5">
        <f>1004.00</f>
        <v>0.0</v>
      </c>
      <c r="I13" s="4"/>
      <c r="J13" s="4"/>
      <c r="K13" t="n" s="5">
        <f>1308.70</f>
        <v>0.0</v>
      </c>
      <c r="L13" s="4"/>
      <c r="M13" t="n" s="5">
        <f>((((((((((B13)+(C13))+(D13))+(E13))+(F13))+(G13))+(H13))+(I13))+(J13))+(K13))+(L13)</f>
        <v>0.0</v>
      </c>
    </row>
    <row r="14">
      <c r="A14" t="s" s="3">
        <v>20</v>
      </c>
      <c r="B14" t="n" s="5">
        <f>95.00</f>
        <v>0.0</v>
      </c>
      <c r="C14" t="n" s="5">
        <f>95.00</f>
        <v>0.0</v>
      </c>
      <c r="D14" t="n" s="5">
        <f>75.00</f>
        <v>0.0</v>
      </c>
      <c r="E14" t="n" s="5">
        <f>95.00</f>
        <v>0.0</v>
      </c>
      <c r="F14" t="n" s="5">
        <f>95.00</f>
        <v>0.0</v>
      </c>
      <c r="G14" s="4"/>
      <c r="H14" t="n" s="5">
        <f>200.00</f>
        <v>0.0</v>
      </c>
      <c r="I14" s="4"/>
      <c r="J14" s="4"/>
      <c r="K14" s="4"/>
      <c r="L14" s="4"/>
      <c r="M14" t="n" s="5">
        <f>((((((((((B14)+(C14))+(D14))+(E14))+(F14))+(G14))+(H14))+(I14))+(J14))+(K14))+(L14)</f>
        <v>0.0</v>
      </c>
    </row>
    <row r="15">
      <c r="A15" t="s" s="3">
        <v>21</v>
      </c>
      <c r="B15" t="n" s="5">
        <f>4007.85</f>
        <v>0.0</v>
      </c>
      <c r="C15" t="n" s="5">
        <f>345.00</f>
        <v>0.0</v>
      </c>
      <c r="D15" t="n" s="5">
        <f>332.00</f>
        <v>0.0</v>
      </c>
      <c r="E15" t="n" s="5">
        <f>-132.00</f>
        <v>0.0</v>
      </c>
      <c r="F15" t="n" s="5">
        <f>275.00</f>
        <v>0.0</v>
      </c>
      <c r="G15" t="n" s="5">
        <f>400.00</f>
        <v>0.0</v>
      </c>
      <c r="H15" t="n" s="5">
        <f>827.00</f>
        <v>0.0</v>
      </c>
      <c r="I15" s="4"/>
      <c r="J15" s="4"/>
      <c r="K15" s="4"/>
      <c r="L15" s="4"/>
      <c r="M15" t="n" s="5">
        <f>((((((((((B15)+(C15))+(D15))+(E15))+(F15))+(G15))+(H15))+(I15))+(J15))+(K15))+(L15)</f>
        <v>0.0</v>
      </c>
    </row>
    <row r="16">
      <c r="A16" t="s" s="3">
        <v>22</v>
      </c>
      <c r="B16" t="n" s="5">
        <f>1.16</f>
        <v>0.0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t="n" s="5">
        <f>((((((((((B16)+(C16))+(D16))+(E16))+(F16))+(G16))+(H16))+(I16))+(J16))+(K16))+(L16)</f>
        <v>0.0</v>
      </c>
    </row>
    <row r="17">
      <c r="A17" t="s" s="3">
        <v>23</v>
      </c>
      <c r="B17" s="4"/>
      <c r="C17" s="4"/>
      <c r="D17" s="4"/>
      <c r="E17" s="4"/>
      <c r="F17" t="n" s="5">
        <f>40.00</f>
        <v>0.0</v>
      </c>
      <c r="G17" s="4"/>
      <c r="H17" s="4"/>
      <c r="I17" t="n" s="5">
        <f>9.70</f>
        <v>0.0</v>
      </c>
      <c r="J17" s="4"/>
      <c r="K17" s="4"/>
      <c r="L17" s="4"/>
      <c r="M17" t="n" s="5">
        <f>((((((((((B17)+(C17))+(D17))+(E17))+(F17))+(G17))+(H17))+(I17))+(J17))+(K17))+(L17)</f>
        <v>0.0</v>
      </c>
    </row>
    <row r="18">
      <c r="A18" t="s" s="3">
        <v>24</v>
      </c>
      <c r="B18" t="n" s="5">
        <f>19.40</f>
        <v>0.0</v>
      </c>
      <c r="C18" t="n" s="5">
        <f>51.10</f>
        <v>0.0</v>
      </c>
      <c r="D18" t="n" s="5">
        <f>31.11</f>
        <v>0.0</v>
      </c>
      <c r="E18" t="n" s="5">
        <f>15.98</f>
        <v>0.0</v>
      </c>
      <c r="F18" t="n" s="5">
        <f>16.91</f>
        <v>0.0</v>
      </c>
      <c r="G18" s="4"/>
      <c r="H18" s="4"/>
      <c r="I18" s="4"/>
      <c r="J18" s="4"/>
      <c r="K18" s="4"/>
      <c r="L18" s="4"/>
      <c r="M18" t="n" s="5">
        <f>((((((((((B18)+(C18))+(D18))+(E18))+(F18))+(G18))+(H18))+(I18))+(J18))+(K18))+(L18)</f>
        <v>0.0</v>
      </c>
    </row>
    <row r="19">
      <c r="A19" t="s" s="3">
        <v>25</v>
      </c>
      <c r="B19" t="n" s="6">
        <f>(((((B13)+(B14))+(B15))+(B16))+(B17))+(B18)</f>
        <v>0.0</v>
      </c>
      <c r="C19" t="n" s="6">
        <f>(((((C13)+(C14))+(C15))+(C16))+(C17))+(C18)</f>
        <v>0.0</v>
      </c>
      <c r="D19" t="n" s="6">
        <f>(((((D13)+(D14))+(D15))+(D16))+(D17))+(D18)</f>
        <v>0.0</v>
      </c>
      <c r="E19" t="n" s="6">
        <f>(((((E13)+(E14))+(E15))+(E16))+(E17))+(E18)</f>
        <v>0.0</v>
      </c>
      <c r="F19" t="n" s="6">
        <f>(((((F13)+(F14))+(F15))+(F16))+(F17))+(F18)</f>
        <v>0.0</v>
      </c>
      <c r="G19" t="n" s="6">
        <f>(((((G13)+(G14))+(G15))+(G16))+(G17))+(G18)</f>
        <v>0.0</v>
      </c>
      <c r="H19" t="n" s="6">
        <f>(((((H13)+(H14))+(H15))+(H16))+(H17))+(H18)</f>
        <v>0.0</v>
      </c>
      <c r="I19" t="n" s="6">
        <f>(((((I13)+(I14))+(I15))+(I16))+(I17))+(I18)</f>
        <v>0.0</v>
      </c>
      <c r="J19" t="n" s="6">
        <f>(((((J13)+(J14))+(J15))+(J16))+(J17))+(J18)</f>
        <v>0.0</v>
      </c>
      <c r="K19" t="n" s="6">
        <f>(((((K13)+(K14))+(K15))+(K16))+(K17))+(K18)</f>
        <v>0.0</v>
      </c>
      <c r="L19" t="n" s="6">
        <f>(((((L13)+(L14))+(L15))+(L16))+(L17))+(L18)</f>
        <v>0.0</v>
      </c>
      <c r="M19" t="n" s="6">
        <f>((((((((((B19)+(C19))+(D19))+(E19))+(F19))+(G19))+(H19))+(I19))+(J19))+(K19))+(L19)</f>
        <v>0.0</v>
      </c>
    </row>
    <row r="20">
      <c r="A20" t="s" s="3">
        <v>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t="n" s="5">
        <f>((((((((((B20)+(C20))+(D20))+(E20))+(F20))+(G20))+(H20))+(I20))+(J20))+(K20))+(L20)</f>
        <v>0.0</v>
      </c>
    </row>
    <row r="21">
      <c r="A21" t="s" s="3">
        <v>27</v>
      </c>
      <c r="B21" t="n" s="5">
        <f>752.50</f>
        <v>0.0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t="n" s="5">
        <f>((((((((((B21)+(C21))+(D21))+(E21))+(F21))+(G21))+(H21))+(I21))+(J21))+(K21))+(L21)</f>
        <v>0.0</v>
      </c>
    </row>
    <row r="22">
      <c r="A22" t="s" s="3">
        <v>28</v>
      </c>
      <c r="B22" t="n" s="5">
        <f>189.10</f>
        <v>0.0</v>
      </c>
      <c r="C22" t="n" s="5">
        <f>109.70</f>
        <v>0.0</v>
      </c>
      <c r="D22" t="n" s="5">
        <f>29.20</f>
        <v>0.0</v>
      </c>
      <c r="E22" s="4"/>
      <c r="F22" t="n" s="5">
        <f>25.00</f>
        <v>0.0</v>
      </c>
      <c r="G22" s="4"/>
      <c r="H22" s="4"/>
      <c r="I22" s="4"/>
      <c r="J22" s="4"/>
      <c r="K22" s="4"/>
      <c r="L22" s="4"/>
      <c r="M22" t="n" s="5">
        <f>((((((((((B22)+(C22))+(D22))+(E22))+(F22))+(G22))+(H22))+(I22))+(J22))+(K22))+(L22)</f>
        <v>0.0</v>
      </c>
    </row>
    <row r="23">
      <c r="A23" t="s" s="3">
        <v>29</v>
      </c>
      <c r="B23" t="n" s="6">
        <f>((B20)+(B21))+(B22)</f>
        <v>0.0</v>
      </c>
      <c r="C23" t="n" s="6">
        <f>((C20)+(C21))+(C22)</f>
        <v>0.0</v>
      </c>
      <c r="D23" t="n" s="6">
        <f>((D20)+(D21))+(D22)</f>
        <v>0.0</v>
      </c>
      <c r="E23" t="n" s="6">
        <f>((E20)+(E21))+(E22)</f>
        <v>0.0</v>
      </c>
      <c r="F23" t="n" s="6">
        <f>((F20)+(F21))+(F22)</f>
        <v>0.0</v>
      </c>
      <c r="G23" t="n" s="6">
        <f>((G20)+(G21))+(G22)</f>
        <v>0.0</v>
      </c>
      <c r="H23" t="n" s="6">
        <f>((H20)+(H21))+(H22)</f>
        <v>0.0</v>
      </c>
      <c r="I23" t="n" s="6">
        <f>((I20)+(I21))+(I22)</f>
        <v>0.0</v>
      </c>
      <c r="J23" t="n" s="6">
        <f>((J20)+(J21))+(J22)</f>
        <v>0.0</v>
      </c>
      <c r="K23" t="n" s="6">
        <f>((K20)+(K21))+(K22)</f>
        <v>0.0</v>
      </c>
      <c r="L23" t="n" s="6">
        <f>((L20)+(L21))+(L22)</f>
        <v>0.0</v>
      </c>
      <c r="M23" t="n" s="6">
        <f>((((((((((B23)+(C23))+(D23))+(E23))+(F23))+(G23))+(H23))+(I23))+(J23))+(K23))+(L23)</f>
        <v>0.0</v>
      </c>
    </row>
    <row r="24">
      <c r="A24" t="s" s="3">
        <v>30</v>
      </c>
      <c r="B24" s="4"/>
      <c r="C24" t="n" s="5">
        <f>574.00</f>
        <v>0.0</v>
      </c>
      <c r="D24" s="4"/>
      <c r="E24" t="n" s="5">
        <f>1034.39</f>
        <v>0.0</v>
      </c>
      <c r="F24" t="n" s="5">
        <f>199.59</f>
        <v>0.0</v>
      </c>
      <c r="G24" t="n" s="5">
        <f>1140.00</f>
        <v>0.0</v>
      </c>
      <c r="H24" t="n" s="5">
        <f>0.00</f>
        <v>0.0</v>
      </c>
      <c r="I24" s="4"/>
      <c r="J24" s="4"/>
      <c r="K24" s="4"/>
      <c r="L24" s="4"/>
      <c r="M24" t="n" s="5">
        <f>((((((((((B24)+(C24))+(D24))+(E24))+(F24))+(G24))+(H24))+(I24))+(J24))+(K24))+(L24)</f>
        <v>0.0</v>
      </c>
    </row>
    <row r="25">
      <c r="A25" t="s" s="3">
        <v>31</v>
      </c>
      <c r="B25" t="n" s="5">
        <f>21059.52</f>
        <v>0.0</v>
      </c>
      <c r="C25" t="n" s="5">
        <f>42990.93</f>
        <v>0.0</v>
      </c>
      <c r="D25" t="n" s="5">
        <f>16564.87</f>
        <v>0.0</v>
      </c>
      <c r="E25" s="4"/>
      <c r="F25" s="4"/>
      <c r="G25" s="4"/>
      <c r="H25" s="4"/>
      <c r="I25" s="4"/>
      <c r="J25" s="4"/>
      <c r="K25" s="4"/>
      <c r="L25" s="4"/>
      <c r="M25" t="n" s="5">
        <f>((((((((((B25)+(C25))+(D25))+(E25))+(F25))+(G25))+(H25))+(I25))+(J25))+(K25))+(L25)</f>
        <v>0.0</v>
      </c>
    </row>
    <row r="26">
      <c r="A26" t="s" s="3">
        <v>32</v>
      </c>
      <c r="B26" s="4"/>
      <c r="C26" t="n" s="5">
        <f>250.00</f>
        <v>0.0</v>
      </c>
      <c r="D26" s="4"/>
      <c r="E26" s="4"/>
      <c r="F26" t="n" s="5">
        <f>3824.00</f>
        <v>0.0</v>
      </c>
      <c r="G26" s="4"/>
      <c r="H26" s="4"/>
      <c r="I26" s="4"/>
      <c r="J26" s="4"/>
      <c r="K26" s="4"/>
      <c r="L26" s="4"/>
      <c r="M26" t="n" s="5">
        <f>((((((((((B26)+(C26))+(D26))+(E26))+(F26))+(G26))+(H26))+(I26))+(J26))+(K26))+(L26)</f>
        <v>0.0</v>
      </c>
    </row>
    <row r="27">
      <c r="A27" t="s" s="3">
        <v>33</v>
      </c>
      <c r="B27" t="n" s="5">
        <f>1049.41</f>
        <v>0.0</v>
      </c>
      <c r="C27" t="n" s="5">
        <f>907.41</f>
        <v>0.0</v>
      </c>
      <c r="D27" t="n" s="5">
        <f>664.88</f>
        <v>0.0</v>
      </c>
      <c r="E27" t="n" s="5">
        <f>268.00</f>
        <v>0.0</v>
      </c>
      <c r="F27" t="n" s="5">
        <f>429.00</f>
        <v>0.0</v>
      </c>
      <c r="G27" t="n" s="5">
        <f>2011.00</f>
        <v>0.0</v>
      </c>
      <c r="H27" t="n" s="5">
        <f>-70.00</f>
        <v>0.0</v>
      </c>
      <c r="I27" s="4"/>
      <c r="J27" s="4"/>
      <c r="K27" s="4"/>
      <c r="L27" s="4"/>
      <c r="M27" t="n" s="5">
        <f>((((((((((B27)+(C27))+(D27))+(E27))+(F27))+(G27))+(H27))+(I27))+(J27))+(K27))+(L27)</f>
        <v>0.0</v>
      </c>
    </row>
    <row r="28">
      <c r="A28" t="s" s="3">
        <v>34</v>
      </c>
      <c r="B28" t="n" s="5">
        <f>100.00</f>
        <v>0.0</v>
      </c>
      <c r="C28" t="n" s="5">
        <f>114.00</f>
        <v>0.0</v>
      </c>
      <c r="D28" t="n" s="5">
        <f>99.00</f>
        <v>0.0</v>
      </c>
      <c r="E28" s="4"/>
      <c r="F28" t="n" s="5">
        <f>30.00</f>
        <v>0.0</v>
      </c>
      <c r="G28" s="4"/>
      <c r="H28" s="4"/>
      <c r="I28" s="4"/>
      <c r="J28" s="4"/>
      <c r="K28" s="4"/>
      <c r="L28" s="4"/>
      <c r="M28" t="n" s="5">
        <f>((((((((((B28)+(C28))+(D28))+(E28))+(F28))+(G28))+(H28))+(I28))+(J28))+(K28))+(L28)</f>
        <v>0.0</v>
      </c>
    </row>
    <row r="29">
      <c r="A29" t="s" s="3">
        <v>35</v>
      </c>
      <c r="B29" t="n" s="5">
        <f>1930.00</f>
        <v>0.0</v>
      </c>
      <c r="C29" t="n" s="5">
        <f>70.00</f>
        <v>0.0</v>
      </c>
      <c r="D29" t="n" s="5">
        <f>1730.00</f>
        <v>0.0</v>
      </c>
      <c r="E29" t="n" s="5">
        <f>705.00</f>
        <v>0.0</v>
      </c>
      <c r="F29" t="n" s="5">
        <f>50.00</f>
        <v>0.0</v>
      </c>
      <c r="G29" t="n" s="5">
        <f>583.00</f>
        <v>0.0</v>
      </c>
      <c r="H29" t="n" s="5">
        <f>120.00</f>
        <v>0.0</v>
      </c>
      <c r="I29" s="4"/>
      <c r="J29" s="4"/>
      <c r="K29" s="4"/>
      <c r="L29" s="4"/>
      <c r="M29" t="n" s="5">
        <f>((((((((((B29)+(C29))+(D29))+(E29))+(F29))+(G29))+(H29))+(I29))+(J29))+(K29))+(L29)</f>
        <v>0.0</v>
      </c>
    </row>
    <row r="30">
      <c r="A30" t="s" s="3">
        <v>36</v>
      </c>
      <c r="B30" t="n" s="6">
        <f>(((((B24)+(B25))+(B26))+(B27))+(B28))+(B29)</f>
        <v>0.0</v>
      </c>
      <c r="C30" t="n" s="6">
        <f>(((((C24)+(C25))+(C26))+(C27))+(C28))+(C29)</f>
        <v>0.0</v>
      </c>
      <c r="D30" t="n" s="6">
        <f>(((((D24)+(D25))+(D26))+(D27))+(D28))+(D29)</f>
        <v>0.0</v>
      </c>
      <c r="E30" t="n" s="6">
        <f>(((((E24)+(E25))+(E26))+(E27))+(E28))+(E29)</f>
        <v>0.0</v>
      </c>
      <c r="F30" t="n" s="6">
        <f>(((((F24)+(F25))+(F26))+(F27))+(F28))+(F29)</f>
        <v>0.0</v>
      </c>
      <c r="G30" t="n" s="6">
        <f>(((((G24)+(G25))+(G26))+(G27))+(G28))+(G29)</f>
        <v>0.0</v>
      </c>
      <c r="H30" t="n" s="6">
        <f>(((((H24)+(H25))+(H26))+(H27))+(H28))+(H29)</f>
        <v>0.0</v>
      </c>
      <c r="I30" t="n" s="6">
        <f>(((((I24)+(I25))+(I26))+(I27))+(I28))+(I29)</f>
        <v>0.0</v>
      </c>
      <c r="J30" t="n" s="6">
        <f>(((((J24)+(J25))+(J26))+(J27))+(J28))+(J29)</f>
        <v>0.0</v>
      </c>
      <c r="K30" t="n" s="6">
        <f>(((((K24)+(K25))+(K26))+(K27))+(K28))+(K29)</f>
        <v>0.0</v>
      </c>
      <c r="L30" t="n" s="6">
        <f>(((((L24)+(L25))+(L26))+(L27))+(L28))+(L29)</f>
        <v>0.0</v>
      </c>
      <c r="M30" t="n" s="6">
        <f>((((((((((B30)+(C30))+(D30))+(E30))+(F30))+(G30))+(H30))+(I30))+(J30))+(K30))+(L30)</f>
        <v>0.0</v>
      </c>
    </row>
    <row r="31">
      <c r="A31" t="s" s="3">
        <v>37</v>
      </c>
      <c r="B31" t="n" s="5">
        <f>10257.00</f>
        <v>0.0</v>
      </c>
      <c r="C31" t="n" s="5">
        <f>1734.00</f>
        <v>0.0</v>
      </c>
      <c r="D31" t="n" s="5">
        <f>5707.00</f>
        <v>0.0</v>
      </c>
      <c r="E31" s="4"/>
      <c r="F31" s="4"/>
      <c r="G31" s="4"/>
      <c r="H31" s="4"/>
      <c r="I31" s="4"/>
      <c r="J31" s="4"/>
      <c r="K31" s="4"/>
      <c r="L31" s="4"/>
      <c r="M31" t="n" s="5">
        <f>((((((((((B31)+(C31))+(D31))+(E31))+(F31))+(G31))+(H31))+(I31))+(J31))+(K31))+(L31)</f>
        <v>0.0</v>
      </c>
    </row>
    <row r="32">
      <c r="A32" t="s" s="3">
        <v>38</v>
      </c>
      <c r="B32" t="n" s="5">
        <f>132.71</f>
        <v>0.0</v>
      </c>
      <c r="C32" t="n" s="5">
        <f>439.22</f>
        <v>0.0</v>
      </c>
      <c r="D32" t="n" s="5">
        <f>116.81</f>
        <v>0.0</v>
      </c>
      <c r="E32" t="n" s="5">
        <f>1619.00</f>
        <v>0.0</v>
      </c>
      <c r="F32" t="n" s="5">
        <f>612.20</f>
        <v>0.0</v>
      </c>
      <c r="G32" s="4"/>
      <c r="H32" t="n" s="5">
        <f>20.00</f>
        <v>0.0</v>
      </c>
      <c r="I32" t="n" s="5">
        <f>-301.00</f>
        <v>0.0</v>
      </c>
      <c r="J32" t="n" s="5">
        <f>220.00</f>
        <v>0.0</v>
      </c>
      <c r="K32" s="4"/>
      <c r="L32" s="4"/>
      <c r="M32" t="n" s="5">
        <f>((((((((((B32)+(C32))+(D32))+(E32))+(F32))+(G32))+(H32))+(I32))+(J32))+(K32))+(L32)</f>
        <v>0.0</v>
      </c>
    </row>
    <row r="33">
      <c r="A33" t="s" s="3">
        <v>39</v>
      </c>
      <c r="B33" s="4"/>
      <c r="C33" s="4"/>
      <c r="D33" t="n" s="5">
        <f>300.00</f>
        <v>0.0</v>
      </c>
      <c r="E33" t="n" s="5">
        <f>200.00</f>
        <v>0.0</v>
      </c>
      <c r="F33" t="n" s="5">
        <f>171.00</f>
        <v>0.0</v>
      </c>
      <c r="G33" t="n" s="5">
        <f>0.00</f>
        <v>0.0</v>
      </c>
      <c r="H33" t="n" s="5">
        <f>1437.00</f>
        <v>0.0</v>
      </c>
      <c r="I33" s="4"/>
      <c r="J33" s="4"/>
      <c r="K33" s="4"/>
      <c r="L33" s="4"/>
      <c r="M33" t="n" s="5">
        <f>((((((((((B33)+(C33))+(D33))+(E33))+(F33))+(G33))+(H33))+(I33))+(J33))+(K33))+(L33)</f>
        <v>0.0</v>
      </c>
    </row>
    <row r="34">
      <c r="A34" t="s" s="3">
        <v>40</v>
      </c>
      <c r="B34" t="n" s="6">
        <f>((B31)+(B32))+(B33)</f>
        <v>0.0</v>
      </c>
      <c r="C34" t="n" s="6">
        <f>((C31)+(C32))+(C33)</f>
        <v>0.0</v>
      </c>
      <c r="D34" t="n" s="6">
        <f>((D31)+(D32))+(D33)</f>
        <v>0.0</v>
      </c>
      <c r="E34" t="n" s="6">
        <f>((E31)+(E32))+(E33)</f>
        <v>0.0</v>
      </c>
      <c r="F34" t="n" s="6">
        <f>((F31)+(F32))+(F33)</f>
        <v>0.0</v>
      </c>
      <c r="G34" t="n" s="6">
        <f>((G31)+(G32))+(G33)</f>
        <v>0.0</v>
      </c>
      <c r="H34" t="n" s="6">
        <f>((H31)+(H32))+(H33)</f>
        <v>0.0</v>
      </c>
      <c r="I34" t="n" s="6">
        <f>((I31)+(I32))+(I33)</f>
        <v>0.0</v>
      </c>
      <c r="J34" t="n" s="6">
        <f>((J31)+(J32))+(J33)</f>
        <v>0.0</v>
      </c>
      <c r="K34" t="n" s="6">
        <f>((K31)+(K32))+(K33)</f>
        <v>0.0</v>
      </c>
      <c r="L34" t="n" s="6">
        <f>((L31)+(L32))+(L33)</f>
        <v>0.0</v>
      </c>
      <c r="M34" t="n" s="6">
        <f>((((((((((B34)+(C34))+(D34))+(E34))+(F34))+(G34))+(H34))+(I34))+(J34))+(K34))+(L34)</f>
        <v>0.0</v>
      </c>
    </row>
    <row r="35">
      <c r="A35" t="s" s="3">
        <v>41</v>
      </c>
      <c r="B35" t="n" s="5">
        <f>208.47</f>
        <v>0.0</v>
      </c>
      <c r="C35" t="n" s="5">
        <f>31.78</f>
        <v>0.0</v>
      </c>
      <c r="D35" t="n" s="5">
        <f>171.35</f>
        <v>0.0</v>
      </c>
      <c r="E35" t="n" s="5">
        <f>66.55</f>
        <v>0.0</v>
      </c>
      <c r="F35" t="n" s="5">
        <f>30.30</f>
        <v>0.0</v>
      </c>
      <c r="G35" s="4"/>
      <c r="H35" s="4"/>
      <c r="I35" s="4"/>
      <c r="J35" s="4"/>
      <c r="K35" s="4"/>
      <c r="L35" s="4"/>
      <c r="M35" t="n" s="5">
        <f>((((((((((B35)+(C35))+(D35))+(E35))+(F35))+(G35))+(H35))+(I35))+(J35))+(K35))+(L35)</f>
        <v>0.0</v>
      </c>
    </row>
    <row r="36">
      <c r="A36" t="s" s="3">
        <v>42</v>
      </c>
      <c r="B36" s="4"/>
      <c r="C36" s="4"/>
      <c r="D36" s="4"/>
      <c r="E36" s="4"/>
      <c r="F36" s="4"/>
      <c r="G36" s="4"/>
      <c r="H36" t="n" s="5">
        <f>-348.30</f>
        <v>0.0</v>
      </c>
      <c r="I36" s="4"/>
      <c r="J36" s="4"/>
      <c r="K36" s="4"/>
      <c r="L36" s="4"/>
      <c r="M36" t="n" s="5">
        <f>((((((((((B36)+(C36))+(D36))+(E36))+(F36))+(G36))+(H36))+(I36))+(J36))+(K36))+(L36)</f>
        <v>0.0</v>
      </c>
    </row>
    <row r="37">
      <c r="A37" t="s" s="3">
        <v>43</v>
      </c>
      <c r="B37" t="n" s="5">
        <f>-440.45</f>
        <v>0.0</v>
      </c>
      <c r="C37" t="n" s="5">
        <f>-863.87</f>
        <v>0.0</v>
      </c>
      <c r="D37" t="n" s="5">
        <f>-931.78</f>
        <v>0.0</v>
      </c>
      <c r="E37" t="n" s="5">
        <f>-1515.52</f>
        <v>0.0</v>
      </c>
      <c r="F37" t="n" s="5">
        <f>-766.61</f>
        <v>0.0</v>
      </c>
      <c r="G37" t="n" s="5">
        <f>-1224.47</f>
        <v>0.0</v>
      </c>
      <c r="H37" t="n" s="5">
        <f>-347.00</f>
        <v>0.0</v>
      </c>
      <c r="I37" t="n" s="5">
        <f>-1778.79</f>
        <v>0.0</v>
      </c>
      <c r="J37" t="n" s="5">
        <f>-221.00</f>
        <v>0.0</v>
      </c>
      <c r="K37" s="4"/>
      <c r="L37" s="4"/>
      <c r="M37" t="n" s="5">
        <f>((((((((((B37)+(C37))+(D37))+(E37))+(F37))+(G37))+(H37))+(I37))+(J37))+(K37))+(L37)</f>
        <v>0.0</v>
      </c>
    </row>
    <row r="38">
      <c r="A38" t="s" s="3">
        <v>44</v>
      </c>
      <c r="B38" s="4"/>
      <c r="C38" s="4"/>
      <c r="D38" s="4"/>
      <c r="E38" s="4"/>
      <c r="F38" s="4"/>
      <c r="G38" s="4"/>
      <c r="H38" t="n" s="5">
        <f>1097.00</f>
        <v>0.0</v>
      </c>
      <c r="I38" t="n" s="5">
        <f>440.00</f>
        <v>0.0</v>
      </c>
      <c r="J38" s="4"/>
      <c r="K38" s="4"/>
      <c r="L38" s="4"/>
      <c r="M38" t="n" s="5">
        <f>((((((((((B38)+(C38))+(D38))+(E38))+(F38))+(G38))+(H38))+(I38))+(J38))+(K38))+(L38)</f>
        <v>0.0</v>
      </c>
    </row>
    <row r="39">
      <c r="A39" t="s" s="3">
        <v>45</v>
      </c>
      <c r="B39" s="4"/>
      <c r="C39" s="4"/>
      <c r="D39" s="4"/>
      <c r="E39" s="4"/>
      <c r="F39" s="4"/>
      <c r="G39" s="4"/>
      <c r="H39" t="n" s="5">
        <f>859.50</f>
        <v>0.0</v>
      </c>
      <c r="I39" t="n" s="5">
        <f>266.93</f>
        <v>0.0</v>
      </c>
      <c r="J39" s="4"/>
      <c r="K39" s="4"/>
      <c r="L39" s="4"/>
      <c r="M39" t="n" s="5">
        <f>((((((((((B39)+(C39))+(D39))+(E39))+(F39))+(G39))+(H39))+(I39))+(J39))+(K39))+(L39)</f>
        <v>0.0</v>
      </c>
    </row>
    <row r="40">
      <c r="A40" t="s" s="3">
        <v>46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t="n" s="5">
        <f>((((((((((B40)+(C40))+(D40))+(E40))+(F40))+(G40))+(H40))+(I40))+(J40))+(K40))+(L40)</f>
        <v>0.0</v>
      </c>
    </row>
    <row r="41">
      <c r="A41" t="s" s="3">
        <v>47</v>
      </c>
      <c r="B41" t="n" s="5">
        <f>400.00</f>
        <v>0.0</v>
      </c>
      <c r="C41" t="n" s="5">
        <f>50.00</f>
        <v>0.0</v>
      </c>
      <c r="D41" t="n" s="5">
        <f>200.00</f>
        <v>0.0</v>
      </c>
      <c r="E41" t="n" s="5">
        <f>50.00</f>
        <v>0.0</v>
      </c>
      <c r="F41" s="4"/>
      <c r="G41" s="4"/>
      <c r="H41" s="4"/>
      <c r="I41" s="4"/>
      <c r="J41" s="4"/>
      <c r="K41" s="4"/>
      <c r="L41" s="4"/>
      <c r="M41" t="n" s="5">
        <f>((((((((((B41)+(C41))+(D41))+(E41))+(F41))+(G41))+(H41))+(I41))+(J41))+(K41))+(L41)</f>
        <v>0.0</v>
      </c>
    </row>
    <row r="42">
      <c r="A42" t="s" s="3">
        <v>48</v>
      </c>
      <c r="B42" t="n" s="5">
        <f>90.00</f>
        <v>0.0</v>
      </c>
      <c r="C42" t="n" s="5">
        <f>10.00</f>
        <v>0.0</v>
      </c>
      <c r="D42" s="4"/>
      <c r="E42" s="4"/>
      <c r="F42" t="n" s="5">
        <f>10.00</f>
        <v>0.0</v>
      </c>
      <c r="G42" s="4"/>
      <c r="H42" t="n" s="5">
        <f>250.00</f>
        <v>0.0</v>
      </c>
      <c r="I42" s="4"/>
      <c r="J42" s="4"/>
      <c r="K42" s="4"/>
      <c r="L42" s="4"/>
      <c r="M42" t="n" s="5">
        <f>((((((((((B42)+(C42))+(D42))+(E42))+(F42))+(G42))+(H42))+(I42))+(J42))+(K42))+(L42)</f>
        <v>0.0</v>
      </c>
    </row>
    <row r="43">
      <c r="A43" t="s" s="3">
        <v>49</v>
      </c>
      <c r="B43" t="n" s="5">
        <f>90.59</f>
        <v>0.0</v>
      </c>
      <c r="C43" t="n" s="5">
        <f>145.00</f>
        <v>0.0</v>
      </c>
      <c r="D43" t="n" s="5">
        <f>30.00</f>
        <v>0.0</v>
      </c>
      <c r="E43" s="4"/>
      <c r="F43" s="4"/>
      <c r="G43" s="4"/>
      <c r="H43" s="4"/>
      <c r="I43" s="4"/>
      <c r="J43" s="4"/>
      <c r="K43" s="4"/>
      <c r="L43" s="4"/>
      <c r="M43" t="n" s="5">
        <f>((((((((((B43)+(C43))+(D43))+(E43))+(F43))+(G43))+(H43))+(I43))+(J43))+(K43))+(L43)</f>
        <v>0.0</v>
      </c>
    </row>
    <row r="44">
      <c r="A44" t="s" s="3">
        <v>50</v>
      </c>
      <c r="B44" t="n" s="6">
        <f>(((B40)+(B41))+(B42))+(B43)</f>
        <v>0.0</v>
      </c>
      <c r="C44" t="n" s="6">
        <f>(((C40)+(C41))+(C42))+(C43)</f>
        <v>0.0</v>
      </c>
      <c r="D44" t="n" s="6">
        <f>(((D40)+(D41))+(D42))+(D43)</f>
        <v>0.0</v>
      </c>
      <c r="E44" t="n" s="6">
        <f>(((E40)+(E41))+(E42))+(E43)</f>
        <v>0.0</v>
      </c>
      <c r="F44" t="n" s="6">
        <f>(((F40)+(F41))+(F42))+(F43)</f>
        <v>0.0</v>
      </c>
      <c r="G44" t="n" s="6">
        <f>(((G40)+(G41))+(G42))+(G43)</f>
        <v>0.0</v>
      </c>
      <c r="H44" t="n" s="6">
        <f>(((H40)+(H41))+(H42))+(H43)</f>
        <v>0.0</v>
      </c>
      <c r="I44" t="n" s="6">
        <f>(((I40)+(I41))+(I42))+(I43)</f>
        <v>0.0</v>
      </c>
      <c r="J44" t="n" s="6">
        <f>(((J40)+(J41))+(J42))+(J43)</f>
        <v>0.0</v>
      </c>
      <c r="K44" t="n" s="6">
        <f>(((K40)+(K41))+(K42))+(K43)</f>
        <v>0.0</v>
      </c>
      <c r="L44" t="n" s="6">
        <f>(((L40)+(L41))+(L42))+(L43)</f>
        <v>0.0</v>
      </c>
      <c r="M44" t="n" s="6">
        <f>((((((((((B44)+(C44))+(D44))+(E44))+(F44))+(G44))+(H44))+(I44))+(J44))+(K44))+(L44)</f>
        <v>0.0</v>
      </c>
    </row>
    <row r="45">
      <c r="A45" t="s" s="3">
        <v>51</v>
      </c>
      <c r="B45" s="4"/>
      <c r="C45" s="4"/>
      <c r="D45" s="4"/>
      <c r="E45" s="4"/>
      <c r="F45" s="4"/>
      <c r="G45" s="4"/>
      <c r="H45" t="n" s="5">
        <f>2213.98</f>
        <v>0.0</v>
      </c>
      <c r="I45" t="n" s="5">
        <f>9894.60</f>
        <v>0.0</v>
      </c>
      <c r="J45" t="n" s="5">
        <f>1210.50</f>
        <v>0.0</v>
      </c>
      <c r="K45" s="4"/>
      <c r="L45" s="4"/>
      <c r="M45" t="n" s="5">
        <f>((((((((((B45)+(C45))+(D45))+(E45))+(F45))+(G45))+(H45))+(I45))+(J45))+(K45))+(L45)</f>
        <v>0.0</v>
      </c>
    </row>
    <row r="46">
      <c r="A46" t="s" s="3">
        <v>52</v>
      </c>
      <c r="B46" t="n" s="6">
        <f>((((((((((((((B7)+(B8))+(B9))+(B12))+(B19))+(B23))+(B30))+(B34))+(B35))+(B36))+(B37))+(B38))+(B39))+(B44))+(B45)</f>
        <v>0.0</v>
      </c>
      <c r="C46" t="n" s="6">
        <f>((((((((((((((C7)+(C8))+(C9))+(C12))+(C19))+(C23))+(C30))+(C34))+(C35))+(C36))+(C37))+(C38))+(C39))+(C44))+(C45)</f>
        <v>0.0</v>
      </c>
      <c r="D46" t="n" s="6">
        <f>((((((((((((((D7)+(D8))+(D9))+(D12))+(D19))+(D23))+(D30))+(D34))+(D35))+(D36))+(D37))+(D38))+(D39))+(D44))+(D45)</f>
        <v>0.0</v>
      </c>
      <c r="E46" t="n" s="6">
        <f>((((((((((((((E7)+(E8))+(E9))+(E12))+(E19))+(E23))+(E30))+(E34))+(E35))+(E36))+(E37))+(E38))+(E39))+(E44))+(E45)</f>
        <v>0.0</v>
      </c>
      <c r="F46" t="n" s="6">
        <f>((((((((((((((F7)+(F8))+(F9))+(F12))+(F19))+(F23))+(F30))+(F34))+(F35))+(F36))+(F37))+(F38))+(F39))+(F44))+(F45)</f>
        <v>0.0</v>
      </c>
      <c r="G46" t="n" s="6">
        <f>((((((((((((((G7)+(G8))+(G9))+(G12))+(G19))+(G23))+(G30))+(G34))+(G35))+(G36))+(G37))+(G38))+(G39))+(G44))+(G45)</f>
        <v>0.0</v>
      </c>
      <c r="H46" t="n" s="6">
        <f>((((((((((((((H7)+(H8))+(H9))+(H12))+(H19))+(H23))+(H30))+(H34))+(H35))+(H36))+(H37))+(H38))+(H39))+(H44))+(H45)</f>
        <v>0.0</v>
      </c>
      <c r="I46" t="n" s="6">
        <f>((((((((((((((I7)+(I8))+(I9))+(I12))+(I19))+(I23))+(I30))+(I34))+(I35))+(I36))+(I37))+(I38))+(I39))+(I44))+(I45)</f>
        <v>0.0</v>
      </c>
      <c r="J46" t="n" s="6">
        <f>((((((((((((((J7)+(J8))+(J9))+(J12))+(J19))+(J23))+(J30))+(J34))+(J35))+(J36))+(J37))+(J38))+(J39))+(J44))+(J45)</f>
        <v>0.0</v>
      </c>
      <c r="K46" t="n" s="6">
        <f>((((((((((((((K7)+(K8))+(K9))+(K12))+(K19))+(K23))+(K30))+(K34))+(K35))+(K36))+(K37))+(K38))+(K39))+(K44))+(K45)</f>
        <v>0.0</v>
      </c>
      <c r="L46" t="n" s="6">
        <f>((((((((((((((L7)+(L8))+(L9))+(L12))+(L19))+(L23))+(L30))+(L34))+(L35))+(L36))+(L37))+(L38))+(L39))+(L44))+(L45)</f>
        <v>0.0</v>
      </c>
      <c r="M46" t="n" s="6">
        <f>((((((((((B46)+(C46))+(D46))+(E46))+(F46))+(G46))+(H46))+(I46))+(J46))+(K46))+(L46)</f>
        <v>0.0</v>
      </c>
    </row>
    <row r="47">
      <c r="A47" t="s" s="3">
        <v>53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t="s" s="3">
        <v>54</v>
      </c>
      <c r="B48" t="n" s="5">
        <f>38.79</f>
        <v>0.0</v>
      </c>
      <c r="C48" t="n" s="5">
        <f>164.39</f>
        <v>0.0</v>
      </c>
      <c r="D48" t="n" s="5">
        <f>31.09</f>
        <v>0.0</v>
      </c>
      <c r="E48" t="n" s="5">
        <f>24.53</f>
        <v>0.0</v>
      </c>
      <c r="F48" s="4"/>
      <c r="G48" s="4"/>
      <c r="H48" s="4"/>
      <c r="I48" s="4"/>
      <c r="J48" s="4"/>
      <c r="K48" s="4"/>
      <c r="L48" s="4"/>
      <c r="M48" t="n" s="5">
        <f>((((((((((B48)+(C48))+(D48))+(E48))+(F48))+(G48))+(H48))+(I48))+(J48))+(K48))+(L48)</f>
        <v>0.0</v>
      </c>
    </row>
    <row r="49">
      <c r="A49" t="s" s="3">
        <v>55</v>
      </c>
      <c r="B49" t="n" s="5">
        <f>3.21</f>
        <v>0.0</v>
      </c>
      <c r="C49" s="4"/>
      <c r="D49" s="4"/>
      <c r="E49" t="n" s="5">
        <f>1319.02</f>
        <v>0.0</v>
      </c>
      <c r="F49" t="n" s="5">
        <f>3253.19</f>
        <v>0.0</v>
      </c>
      <c r="G49" s="4"/>
      <c r="H49" s="4"/>
      <c r="I49" s="4"/>
      <c r="J49" s="4"/>
      <c r="K49" s="4"/>
      <c r="L49" s="4"/>
      <c r="M49" t="n" s="5">
        <f>((((((((((B49)+(C49))+(D49))+(E49))+(F49))+(G49))+(H49))+(I49))+(J49))+(K49))+(L49)</f>
        <v>0.0</v>
      </c>
    </row>
    <row r="50">
      <c r="A50" t="s" s="3">
        <v>56</v>
      </c>
      <c r="B50" t="n" s="6">
        <f>(B48)+(B49)</f>
        <v>0.0</v>
      </c>
      <c r="C50" t="n" s="6">
        <f>(C48)+(C49)</f>
        <v>0.0</v>
      </c>
      <c r="D50" t="n" s="6">
        <f>(D48)+(D49)</f>
        <v>0.0</v>
      </c>
      <c r="E50" t="n" s="6">
        <f>(E48)+(E49)</f>
        <v>0.0</v>
      </c>
      <c r="F50" t="n" s="6">
        <f>(F48)+(F49)</f>
        <v>0.0</v>
      </c>
      <c r="G50" t="n" s="6">
        <f>(G48)+(G49)</f>
        <v>0.0</v>
      </c>
      <c r="H50" t="n" s="6">
        <f>(H48)+(H49)</f>
        <v>0.0</v>
      </c>
      <c r="I50" t="n" s="6">
        <f>(I48)+(I49)</f>
        <v>0.0</v>
      </c>
      <c r="J50" t="n" s="6">
        <f>(J48)+(J49)</f>
        <v>0.0</v>
      </c>
      <c r="K50" t="n" s="6">
        <f>(K48)+(K49)</f>
        <v>0.0</v>
      </c>
      <c r="L50" t="n" s="6">
        <f>(L48)+(L49)</f>
        <v>0.0</v>
      </c>
      <c r="M50" t="n" s="6">
        <f>((((((((((B50)+(C50))+(D50))+(E50))+(F50))+(G50))+(H50))+(I50))+(J50))+(K50))+(L50)</f>
        <v>0.0</v>
      </c>
    </row>
    <row r="51">
      <c r="A51" t="s" s="3">
        <v>57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t="n" s="5">
        <f>((((((((((B51)+(C51))+(D51))+(E51))+(F51))+(G51))+(H51))+(I51))+(J51))+(K51))+(L51)</f>
        <v>0.0</v>
      </c>
    </row>
    <row r="52">
      <c r="A52" t="s" s="3">
        <v>58</v>
      </c>
      <c r="B52" t="n" s="5">
        <f>1297.19</f>
        <v>0.0</v>
      </c>
      <c r="C52" t="n" s="5">
        <f>1384.25</f>
        <v>0.0</v>
      </c>
      <c r="D52" t="n" s="5">
        <f>1406.27</f>
        <v>0.0</v>
      </c>
      <c r="E52" t="n" s="5">
        <f>30.00</f>
        <v>0.0</v>
      </c>
      <c r="F52" t="n" s="5">
        <f>1321.00</f>
        <v>0.0</v>
      </c>
      <c r="G52" t="n" s="5">
        <f>243.00</f>
        <v>0.0</v>
      </c>
      <c r="H52" t="n" s="5">
        <f>119.00</f>
        <v>0.0</v>
      </c>
      <c r="I52" s="4"/>
      <c r="J52" s="4"/>
      <c r="K52" s="4"/>
      <c r="L52" s="4"/>
      <c r="M52" t="n" s="5">
        <f>((((((((((B52)+(C52))+(D52))+(E52))+(F52))+(G52))+(H52))+(I52))+(J52))+(K52))+(L52)</f>
        <v>0.0</v>
      </c>
    </row>
    <row r="53">
      <c r="A53" t="s" s="3">
        <v>59</v>
      </c>
      <c r="B53" t="n" s="5">
        <f>187.00</f>
        <v>0.0</v>
      </c>
      <c r="C53" t="n" s="5">
        <f>203.00</f>
        <v>0.0</v>
      </c>
      <c r="D53" t="n" s="5">
        <f>246.75</f>
        <v>0.0</v>
      </c>
      <c r="E53" s="4"/>
      <c r="F53" t="n" s="5">
        <f>246.75</f>
        <v>0.0</v>
      </c>
      <c r="G53" s="4"/>
      <c r="H53" s="4"/>
      <c r="I53" s="4"/>
      <c r="J53" s="4"/>
      <c r="K53" s="4"/>
      <c r="L53" s="4"/>
      <c r="M53" t="n" s="5">
        <f>((((((((((B53)+(C53))+(D53))+(E53))+(F53))+(G53))+(H53))+(I53))+(J53))+(K53))+(L53)</f>
        <v>0.0</v>
      </c>
    </row>
    <row r="54">
      <c r="A54" t="s" s="3">
        <v>60</v>
      </c>
      <c r="B54" t="n" s="6">
        <f>((B51)+(B52))+(B53)</f>
        <v>0.0</v>
      </c>
      <c r="C54" t="n" s="6">
        <f>((C51)+(C52))+(C53)</f>
        <v>0.0</v>
      </c>
      <c r="D54" t="n" s="6">
        <f>((D51)+(D52))+(D53)</f>
        <v>0.0</v>
      </c>
      <c r="E54" t="n" s="6">
        <f>((E51)+(E52))+(E53)</f>
        <v>0.0</v>
      </c>
      <c r="F54" t="n" s="6">
        <f>((F51)+(F52))+(F53)</f>
        <v>0.0</v>
      </c>
      <c r="G54" t="n" s="6">
        <f>((G51)+(G52))+(G53)</f>
        <v>0.0</v>
      </c>
      <c r="H54" t="n" s="6">
        <f>((H51)+(H52))+(H53)</f>
        <v>0.0</v>
      </c>
      <c r="I54" t="n" s="6">
        <f>((I51)+(I52))+(I53)</f>
        <v>0.0</v>
      </c>
      <c r="J54" t="n" s="6">
        <f>((J51)+(J52))+(J53)</f>
        <v>0.0</v>
      </c>
      <c r="K54" t="n" s="6">
        <f>((K51)+(K52))+(K53)</f>
        <v>0.0</v>
      </c>
      <c r="L54" t="n" s="6">
        <f>((L51)+(L52))+(L53)</f>
        <v>0.0</v>
      </c>
      <c r="M54" t="n" s="6">
        <f>((((((((((B54)+(C54))+(D54))+(E54))+(F54))+(G54))+(H54))+(I54))+(J54))+(K54))+(L54)</f>
        <v>0.0</v>
      </c>
    </row>
    <row r="55">
      <c r="A55" t="s" s="3">
        <v>61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t="n" s="5">
        <f>((((((((((B55)+(C55))+(D55))+(E55))+(F55))+(G55))+(H55))+(I55))+(J55))+(K55))+(L55)</f>
        <v>0.0</v>
      </c>
    </row>
    <row r="56">
      <c r="A56" t="s" s="3">
        <v>62</v>
      </c>
      <c r="B56" t="n" s="5">
        <f>15354.00</f>
        <v>0.0</v>
      </c>
      <c r="C56" t="n" s="5">
        <f>33613.00</f>
        <v>0.0</v>
      </c>
      <c r="D56" t="n" s="5">
        <f>18468.63</f>
        <v>0.0</v>
      </c>
      <c r="E56" s="4"/>
      <c r="F56" s="4"/>
      <c r="G56" s="4"/>
      <c r="H56" s="4"/>
      <c r="I56" s="4"/>
      <c r="J56" s="4"/>
      <c r="K56" s="4"/>
      <c r="L56" s="4"/>
      <c r="M56" t="n" s="5">
        <f>((((((((((B56)+(C56))+(D56))+(E56))+(F56))+(G56))+(H56))+(I56))+(J56))+(K56))+(L56)</f>
        <v>0.0</v>
      </c>
    </row>
    <row r="57">
      <c r="A57" t="s" s="3">
        <v>63</v>
      </c>
      <c r="B57" s="4"/>
      <c r="C57" s="4"/>
      <c r="D57" s="4"/>
      <c r="E57" s="4"/>
      <c r="F57" t="n" s="5">
        <f>3178.00</f>
        <v>0.0</v>
      </c>
      <c r="G57" s="4"/>
      <c r="H57" s="4"/>
      <c r="I57" s="4"/>
      <c r="J57" s="4"/>
      <c r="K57" s="4"/>
      <c r="L57" s="4"/>
      <c r="M57" t="n" s="5">
        <f>((((((((((B57)+(C57))+(D57))+(E57))+(F57))+(G57))+(H57))+(I57))+(J57))+(K57))+(L57)</f>
        <v>0.0</v>
      </c>
    </row>
    <row r="58">
      <c r="A58" t="s" s="3">
        <v>64</v>
      </c>
      <c r="B58" t="n" s="5">
        <f>11045.00</f>
        <v>0.0</v>
      </c>
      <c r="C58" t="n" s="5">
        <f>3004.00</f>
        <v>0.0</v>
      </c>
      <c r="D58" t="n" s="5">
        <f>5756.99</f>
        <v>0.0</v>
      </c>
      <c r="E58" s="4"/>
      <c r="F58" s="4"/>
      <c r="G58" s="4"/>
      <c r="H58" s="4"/>
      <c r="I58" s="4"/>
      <c r="J58" s="4"/>
      <c r="K58" s="4"/>
      <c r="L58" s="4"/>
      <c r="M58" t="n" s="5">
        <f>((((((((((B58)+(C58))+(D58))+(E58))+(F58))+(G58))+(H58))+(I58))+(J58))+(K58))+(L58)</f>
        <v>0.0</v>
      </c>
    </row>
    <row r="59">
      <c r="A59" t="s" s="3">
        <v>65</v>
      </c>
      <c r="B59" t="n" s="5">
        <f>229.46</f>
        <v>0.0</v>
      </c>
      <c r="C59" t="n" s="5">
        <f>178.47</f>
        <v>0.0</v>
      </c>
      <c r="D59" t="n" s="5">
        <f>101.99</f>
        <v>0.0</v>
      </c>
      <c r="E59" s="4"/>
      <c r="F59" t="n" s="5">
        <f>75.00</f>
        <v>0.0</v>
      </c>
      <c r="G59" s="4"/>
      <c r="H59" s="4"/>
      <c r="I59" s="4"/>
      <c r="J59" s="4"/>
      <c r="K59" s="4"/>
      <c r="L59" s="4"/>
      <c r="M59" t="n" s="5">
        <f>((((((((((B59)+(C59))+(D59))+(E59))+(F59))+(G59))+(H59))+(I59))+(J59))+(K59))+(L59)</f>
        <v>0.0</v>
      </c>
    </row>
    <row r="60">
      <c r="A60" t="s" s="3">
        <v>66</v>
      </c>
      <c r="B60" t="n" s="5">
        <f>11616.59</f>
        <v>0.0</v>
      </c>
      <c r="C60" t="n" s="5">
        <f>6800.00</f>
        <v>0.0</v>
      </c>
      <c r="D60" t="n" s="5">
        <f>1670.00</f>
        <v>0.0</v>
      </c>
      <c r="E60" s="4"/>
      <c r="F60" s="4"/>
      <c r="G60" t="n" s="5">
        <f>-80.00</f>
        <v>0.0</v>
      </c>
      <c r="H60" s="4"/>
      <c r="I60" s="4"/>
      <c r="J60" s="4"/>
      <c r="K60" s="4"/>
      <c r="L60" s="4"/>
      <c r="M60" t="n" s="5">
        <f>((((((((((B60)+(C60))+(D60))+(E60))+(F60))+(G60))+(H60))+(I60))+(J60))+(K60))+(L60)</f>
        <v>0.0</v>
      </c>
    </row>
    <row r="61">
      <c r="A61" t="s" s="3">
        <v>67</v>
      </c>
      <c r="B61" t="n" s="6">
        <f>(((((B55)+(B56))+(B57))+(B58))+(B59))+(B60)</f>
        <v>0.0</v>
      </c>
      <c r="C61" t="n" s="6">
        <f>(((((C55)+(C56))+(C57))+(C58))+(C59))+(C60)</f>
        <v>0.0</v>
      </c>
      <c r="D61" t="n" s="6">
        <f>(((((D55)+(D56))+(D57))+(D58))+(D59))+(D60)</f>
        <v>0.0</v>
      </c>
      <c r="E61" t="n" s="6">
        <f>(((((E55)+(E56))+(E57))+(E58))+(E59))+(E60)</f>
        <v>0.0</v>
      </c>
      <c r="F61" t="n" s="6">
        <f>(((((F55)+(F56))+(F57))+(F58))+(F59))+(F60)</f>
        <v>0.0</v>
      </c>
      <c r="G61" t="n" s="6">
        <f>(((((G55)+(G56))+(G57))+(G58))+(G59))+(G60)</f>
        <v>0.0</v>
      </c>
      <c r="H61" t="n" s="6">
        <f>(((((H55)+(H56))+(H57))+(H58))+(H59))+(H60)</f>
        <v>0.0</v>
      </c>
      <c r="I61" t="n" s="6">
        <f>(((((I55)+(I56))+(I57))+(I58))+(I59))+(I60)</f>
        <v>0.0</v>
      </c>
      <c r="J61" t="n" s="6">
        <f>(((((J55)+(J56))+(J57))+(J58))+(J59))+(J60)</f>
        <v>0.0</v>
      </c>
      <c r="K61" t="n" s="6">
        <f>(((((K55)+(K56))+(K57))+(K58))+(K59))+(K60)</f>
        <v>0.0</v>
      </c>
      <c r="L61" t="n" s="6">
        <f>(((((L55)+(L56))+(L57))+(L58))+(L59))+(L60)</f>
        <v>0.0</v>
      </c>
      <c r="M61" t="n" s="6">
        <f>((((((((((B61)+(C61))+(D61))+(E61))+(F61))+(G61))+(H61))+(I61))+(J61))+(K61))+(L61)</f>
        <v>0.0</v>
      </c>
    </row>
    <row r="62">
      <c r="A62" t="s" s="3">
        <v>68</v>
      </c>
      <c r="B62" t="n" s="5">
        <f>1137.70</f>
        <v>0.0</v>
      </c>
      <c r="C62" t="n" s="5">
        <f>1641.35</f>
        <v>0.0</v>
      </c>
      <c r="D62" t="n" s="5">
        <f>527.60</f>
        <v>0.0</v>
      </c>
      <c r="E62" t="n" s="5">
        <f>203.32</f>
        <v>0.0</v>
      </c>
      <c r="F62" s="4"/>
      <c r="G62" s="4"/>
      <c r="H62" s="4"/>
      <c r="I62" s="4"/>
      <c r="J62" s="4"/>
      <c r="K62" s="4"/>
      <c r="L62" s="4"/>
      <c r="M62" t="n" s="5">
        <f>((((((((((B62)+(C62))+(D62))+(E62))+(F62))+(G62))+(H62))+(I62))+(J62))+(K62))+(L62)</f>
        <v>0.0</v>
      </c>
    </row>
    <row r="63">
      <c r="A63" t="s" s="3">
        <v>69</v>
      </c>
      <c r="B63" s="4"/>
      <c r="C63" t="n" s="5">
        <f>39.31</f>
        <v>0.0</v>
      </c>
      <c r="D63" t="n" s="5">
        <f>249.83</f>
        <v>0.0</v>
      </c>
      <c r="E63" t="n" s="5">
        <f>3907.55</f>
        <v>0.0</v>
      </c>
      <c r="F63" t="n" s="5">
        <f>338.91</f>
        <v>0.0</v>
      </c>
      <c r="G63" t="n" s="5">
        <f>211.90</f>
        <v>0.0</v>
      </c>
      <c r="H63" s="4"/>
      <c r="I63" s="4"/>
      <c r="J63" s="4"/>
      <c r="K63" s="4"/>
      <c r="L63" s="4"/>
      <c r="M63" t="n" s="5">
        <f>((((((((((B63)+(C63))+(D63))+(E63))+(F63))+(G63))+(H63))+(I63))+(J63))+(K63))+(L63)</f>
        <v>0.0</v>
      </c>
    </row>
    <row r="64">
      <c r="A64" t="s" s="3">
        <v>70</v>
      </c>
      <c r="B64" t="n" s="6">
        <f>(B62)+(B63)</f>
        <v>0.0</v>
      </c>
      <c r="C64" t="n" s="6">
        <f>(C62)+(C63)</f>
        <v>0.0</v>
      </c>
      <c r="D64" t="n" s="6">
        <f>(D62)+(D63)</f>
        <v>0.0</v>
      </c>
      <c r="E64" t="n" s="6">
        <f>(E62)+(E63)</f>
        <v>0.0</v>
      </c>
      <c r="F64" t="n" s="6">
        <f>(F62)+(F63)</f>
        <v>0.0</v>
      </c>
      <c r="G64" t="n" s="6">
        <f>(G62)+(G63)</f>
        <v>0.0</v>
      </c>
      <c r="H64" t="n" s="6">
        <f>(H62)+(H63)</f>
        <v>0.0</v>
      </c>
      <c r="I64" t="n" s="6">
        <f>(I62)+(I63)</f>
        <v>0.0</v>
      </c>
      <c r="J64" t="n" s="6">
        <f>(J62)+(J63)</f>
        <v>0.0</v>
      </c>
      <c r="K64" t="n" s="6">
        <f>(K62)+(K63)</f>
        <v>0.0</v>
      </c>
      <c r="L64" t="n" s="6">
        <f>(L62)+(L63)</f>
        <v>0.0</v>
      </c>
      <c r="M64" t="n" s="6">
        <f>((((((((((B64)+(C64))+(D64))+(E64))+(F64))+(G64))+(H64))+(I64))+(J64))+(K64))+(L64)</f>
        <v>0.0</v>
      </c>
    </row>
    <row r="65">
      <c r="A65" t="s" s="3">
        <v>71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t="n" s="5">
        <f>((((((((((B65)+(C65))+(D65))+(E65))+(F65))+(G65))+(H65))+(I65))+(J65))+(K65))+(L65)</f>
        <v>0.0</v>
      </c>
    </row>
    <row r="66">
      <c r="A66" t="s" s="3">
        <v>72</v>
      </c>
      <c r="B66" t="n" s="5">
        <f>641.98</f>
        <v>0.0</v>
      </c>
      <c r="C66" t="n" s="5">
        <f>259.28</f>
        <v>0.0</v>
      </c>
      <c r="D66" t="n" s="5">
        <f>8.14</f>
        <v>0.0</v>
      </c>
      <c r="E66" t="n" s="5">
        <f>420.42</f>
        <v>0.0</v>
      </c>
      <c r="F66" t="n" s="5">
        <f>229.28</f>
        <v>0.0</v>
      </c>
      <c r="G66" t="n" s="5">
        <f>4.14</f>
        <v>0.0</v>
      </c>
      <c r="H66" t="n" s="5">
        <f>350.28</f>
        <v>0.0</v>
      </c>
      <c r="I66" s="4"/>
      <c r="J66" s="4"/>
      <c r="K66" s="4"/>
      <c r="L66" s="4"/>
      <c r="M66" t="n" s="5">
        <f>((((((((((B66)+(C66))+(D66))+(E66))+(F66))+(G66))+(H66))+(I66))+(J66))+(K66))+(L66)</f>
        <v>0.0</v>
      </c>
    </row>
    <row r="67">
      <c r="A67" t="s" s="3">
        <v>73</v>
      </c>
      <c r="B67" t="n" s="5">
        <f>869.00</f>
        <v>0.0</v>
      </c>
      <c r="C67" t="n" s="5">
        <f>590.53</f>
        <v>0.0</v>
      </c>
      <c r="D67" t="n" s="5">
        <f>1498.78</f>
        <v>0.0</v>
      </c>
      <c r="E67" s="4"/>
      <c r="F67" t="n" s="5">
        <f>215.05</f>
        <v>0.0</v>
      </c>
      <c r="G67" t="n" s="5">
        <f>187.00</f>
        <v>0.0</v>
      </c>
      <c r="H67" t="n" s="5">
        <f>515.00</f>
        <v>0.0</v>
      </c>
      <c r="I67" s="4"/>
      <c r="J67" s="4"/>
      <c r="K67" s="4"/>
      <c r="L67" s="4"/>
      <c r="M67" t="n" s="5">
        <f>((((((((((B67)+(C67))+(D67))+(E67))+(F67))+(G67))+(H67))+(I67))+(J67))+(K67))+(L67)</f>
        <v>0.0</v>
      </c>
    </row>
    <row r="68">
      <c r="A68" t="s" s="3">
        <v>74</v>
      </c>
      <c r="B68" t="n" s="5">
        <f>2668.54</f>
        <v>0.0</v>
      </c>
      <c r="C68" t="n" s="5">
        <f>-1085.55</f>
        <v>0.0</v>
      </c>
      <c r="D68" t="n" s="5">
        <f>91.47</f>
        <v>0.0</v>
      </c>
      <c r="E68" t="n" s="5">
        <f>1100.98</f>
        <v>0.0</v>
      </c>
      <c r="F68" t="n" s="5">
        <f>1140.51</f>
        <v>0.0</v>
      </c>
      <c r="G68" t="n" s="5">
        <f>1254.57</f>
        <v>0.0</v>
      </c>
      <c r="H68" t="n" s="5">
        <f>586.17</f>
        <v>0.0</v>
      </c>
      <c r="I68" s="4"/>
      <c r="J68" s="4"/>
      <c r="K68" s="4"/>
      <c r="L68" s="4"/>
      <c r="M68" t="n" s="5">
        <f>((((((((((B68)+(C68))+(D68))+(E68))+(F68))+(G68))+(H68))+(I68))+(J68))+(K68))+(L68)</f>
        <v>0.0</v>
      </c>
    </row>
    <row r="69">
      <c r="A69" t="s" s="3">
        <v>75</v>
      </c>
      <c r="B69" t="n" s="5">
        <f>2077.00</f>
        <v>0.0</v>
      </c>
      <c r="C69" t="n" s="5">
        <f>935.00</f>
        <v>0.0</v>
      </c>
      <c r="D69" t="n" s="5">
        <f>1460.00</f>
        <v>0.0</v>
      </c>
      <c r="E69" t="n" s="5">
        <f>820.00</f>
        <v>0.0</v>
      </c>
      <c r="F69" t="n" s="5">
        <f>180.00</f>
        <v>0.0</v>
      </c>
      <c r="G69" s="4"/>
      <c r="H69" t="n" s="5">
        <f>746.00</f>
        <v>0.0</v>
      </c>
      <c r="I69" s="4"/>
      <c r="J69" s="4"/>
      <c r="K69" s="4"/>
      <c r="L69" s="4"/>
      <c r="M69" t="n" s="5">
        <f>((((((((((B69)+(C69))+(D69))+(E69))+(F69))+(G69))+(H69))+(I69))+(J69))+(K69))+(L69)</f>
        <v>0.0</v>
      </c>
    </row>
    <row r="70">
      <c r="A70" t="s" s="3">
        <v>76</v>
      </c>
      <c r="B70" t="n" s="6">
        <f>((((B65)+(B66))+(B67))+(B68))+(B69)</f>
        <v>0.0</v>
      </c>
      <c r="C70" t="n" s="6">
        <f>((((C65)+(C66))+(C67))+(C68))+(C69)</f>
        <v>0.0</v>
      </c>
      <c r="D70" t="n" s="6">
        <f>((((D65)+(D66))+(D67))+(D68))+(D69)</f>
        <v>0.0</v>
      </c>
      <c r="E70" t="n" s="6">
        <f>((((E65)+(E66))+(E67))+(E68))+(E69)</f>
        <v>0.0</v>
      </c>
      <c r="F70" t="n" s="6">
        <f>((((F65)+(F66))+(F67))+(F68))+(F69)</f>
        <v>0.0</v>
      </c>
      <c r="G70" t="n" s="6">
        <f>((((G65)+(G66))+(G67))+(G68))+(G69)</f>
        <v>0.0</v>
      </c>
      <c r="H70" t="n" s="6">
        <f>((((H65)+(H66))+(H67))+(H68))+(H69)</f>
        <v>0.0</v>
      </c>
      <c r="I70" t="n" s="6">
        <f>((((I65)+(I66))+(I67))+(I68))+(I69)</f>
        <v>0.0</v>
      </c>
      <c r="J70" t="n" s="6">
        <f>((((J65)+(J66))+(J67))+(J68))+(J69)</f>
        <v>0.0</v>
      </c>
      <c r="K70" t="n" s="6">
        <f>((((K65)+(K66))+(K67))+(K68))+(K69)</f>
        <v>0.0</v>
      </c>
      <c r="L70" t="n" s="6">
        <f>((((L65)+(L66))+(L67))+(L68))+(L69)</f>
        <v>0.0</v>
      </c>
      <c r="M70" t="n" s="6">
        <f>((((((((((B70)+(C70))+(D70))+(E70))+(F70))+(G70))+(H70))+(I70))+(J70))+(K70))+(L70)</f>
        <v>0.0</v>
      </c>
    </row>
    <row r="71">
      <c r="A71" t="s" s="3">
        <v>77</v>
      </c>
      <c r="B71" t="n" s="6">
        <f>((((B50)+(B54))+(B61))+(B64))+(B70)</f>
        <v>0.0</v>
      </c>
      <c r="C71" t="n" s="6">
        <f>((((C50)+(C54))+(C61))+(C64))+(C70)</f>
        <v>0.0</v>
      </c>
      <c r="D71" t="n" s="6">
        <f>((((D50)+(D54))+(D61))+(D64))+(D70)</f>
        <v>0.0</v>
      </c>
      <c r="E71" t="n" s="6">
        <f>((((E50)+(E54))+(E61))+(E64))+(E70)</f>
        <v>0.0</v>
      </c>
      <c r="F71" t="n" s="6">
        <f>((((F50)+(F54))+(F61))+(F64))+(F70)</f>
        <v>0.0</v>
      </c>
      <c r="G71" t="n" s="6">
        <f>((((G50)+(G54))+(G61))+(G64))+(G70)</f>
        <v>0.0</v>
      </c>
      <c r="H71" t="n" s="6">
        <f>((((H50)+(H54))+(H61))+(H64))+(H70)</f>
        <v>0.0</v>
      </c>
      <c r="I71" t="n" s="6">
        <f>((((I50)+(I54))+(I61))+(I64))+(I70)</f>
        <v>0.0</v>
      </c>
      <c r="J71" t="n" s="6">
        <f>((((J50)+(J54))+(J61))+(J64))+(J70)</f>
        <v>0.0</v>
      </c>
      <c r="K71" t="n" s="6">
        <f>((((K50)+(K54))+(K61))+(K64))+(K70)</f>
        <v>0.0</v>
      </c>
      <c r="L71" t="n" s="6">
        <f>((((L50)+(L54))+(L61))+(L64))+(L70)</f>
        <v>0.0</v>
      </c>
      <c r="M71" t="n" s="6">
        <f>((((((((((B71)+(C71))+(D71))+(E71))+(F71))+(G71))+(H71))+(I71))+(J71))+(K71))+(L71)</f>
        <v>0.0</v>
      </c>
    </row>
    <row r="72">
      <c r="A72" t="s" s="3">
        <v>78</v>
      </c>
      <c r="B72" t="n" s="6">
        <f>(B46)-(B71)</f>
        <v>0.0</v>
      </c>
      <c r="C72" t="n" s="6">
        <f>(C46)-(C71)</f>
        <v>0.0</v>
      </c>
      <c r="D72" t="n" s="6">
        <f>(D46)-(D71)</f>
        <v>0.0</v>
      </c>
      <c r="E72" t="n" s="6">
        <f>(E46)-(E71)</f>
        <v>0.0</v>
      </c>
      <c r="F72" t="n" s="6">
        <f>(F46)-(F71)</f>
        <v>0.0</v>
      </c>
      <c r="G72" t="n" s="6">
        <f>(G46)-(G71)</f>
        <v>0.0</v>
      </c>
      <c r="H72" t="n" s="6">
        <f>(H46)-(H71)</f>
        <v>0.0</v>
      </c>
      <c r="I72" t="n" s="6">
        <f>(I46)-(I71)</f>
        <v>0.0</v>
      </c>
      <c r="J72" t="n" s="6">
        <f>(J46)-(J71)</f>
        <v>0.0</v>
      </c>
      <c r="K72" t="n" s="6">
        <f>(K46)-(K71)</f>
        <v>0.0</v>
      </c>
      <c r="L72" t="n" s="6">
        <f>(L46)-(L71)</f>
        <v>0.0</v>
      </c>
      <c r="M72" t="n" s="6">
        <f>((((((((((B72)+(C72))+(D72))+(E72))+(F72))+(G72))+(H72))+(I72))+(J72))+(K72))+(L72)</f>
        <v>0.0</v>
      </c>
    </row>
    <row r="73">
      <c r="A73" t="s" s="3">
        <v>79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A74" t="s" s="3">
        <v>80</v>
      </c>
      <c r="B74" t="n" s="5">
        <f>29.95</f>
        <v>0.0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t="n" s="5">
        <f>((((((((((B74)+(C74))+(D74))+(E74))+(F74))+(G74))+(H74))+(I74))+(J74))+(K74))+(L74)</f>
        <v>0.0</v>
      </c>
    </row>
    <row r="75">
      <c r="A75" t="s" s="3">
        <v>81</v>
      </c>
      <c r="B75" s="4"/>
      <c r="C75" s="4"/>
      <c r="D75" s="4"/>
      <c r="E75" s="4"/>
      <c r="F75" s="4"/>
      <c r="G75" s="4"/>
      <c r="H75" t="n" s="5">
        <f>300.44</f>
        <v>0.0</v>
      </c>
      <c r="I75" s="4"/>
      <c r="J75" s="4"/>
      <c r="K75" s="4"/>
      <c r="L75" s="4"/>
      <c r="M75" t="n" s="5">
        <f>((((((((((B75)+(C75))+(D75))+(E75))+(F75))+(G75))+(H75))+(I75))+(J75))+(K75))+(L75)</f>
        <v>0.0</v>
      </c>
    </row>
    <row r="76">
      <c r="A76" t="s" s="3">
        <v>82</v>
      </c>
      <c r="B76" t="n" s="5">
        <f>75.00</f>
        <v>0.0</v>
      </c>
      <c r="C76" t="n" s="5">
        <f>75.00</f>
        <v>0.0</v>
      </c>
      <c r="D76" t="n" s="5">
        <f>75.00</f>
        <v>0.0</v>
      </c>
      <c r="E76" t="n" s="5">
        <f>75.00</f>
        <v>0.0</v>
      </c>
      <c r="F76" t="n" s="5">
        <f>75.00</f>
        <v>0.0</v>
      </c>
      <c r="G76" t="n" s="5">
        <f>75.00</f>
        <v>0.0</v>
      </c>
      <c r="H76" t="n" s="5">
        <f>75.00</f>
        <v>0.0</v>
      </c>
      <c r="I76" s="4"/>
      <c r="J76" s="4"/>
      <c r="K76" s="4"/>
      <c r="L76" s="4"/>
      <c r="M76" t="n" s="5">
        <f>((((((((((B76)+(C76))+(D76))+(E76))+(F76))+(G76))+(H76))+(I76))+(J76))+(K76))+(L76)</f>
        <v>0.0</v>
      </c>
    </row>
    <row r="77">
      <c r="A77" t="s" s="3">
        <v>83</v>
      </c>
      <c r="B77" s="4"/>
      <c r="C77" s="4"/>
      <c r="D77" t="n" s="5">
        <f>45.00</f>
        <v>0.0</v>
      </c>
      <c r="E77" t="n" s="5">
        <f>45.00</f>
        <v>0.0</v>
      </c>
      <c r="F77" t="n" s="5">
        <f>45.00</f>
        <v>0.0</v>
      </c>
      <c r="G77" t="n" s="5">
        <f>118.44</f>
        <v>0.0</v>
      </c>
      <c r="H77" t="n" s="5">
        <f>606.13</f>
        <v>0.0</v>
      </c>
      <c r="I77" t="n" s="5">
        <f>72.95</f>
        <v>0.0</v>
      </c>
      <c r="J77" s="4"/>
      <c r="K77" s="4"/>
      <c r="L77" s="4"/>
      <c r="M77" t="n" s="5">
        <f>((((((((((B77)+(C77))+(D77))+(E77))+(F77))+(G77))+(H77))+(I77))+(J77))+(K77))+(L77)</f>
        <v>0.0</v>
      </c>
    </row>
    <row r="78">
      <c r="A78" t="s" s="3">
        <v>84</v>
      </c>
      <c r="B78" t="n" s="5">
        <f>197.30</f>
        <v>0.0</v>
      </c>
      <c r="C78" t="n" s="5">
        <f>185.30</f>
        <v>0.0</v>
      </c>
      <c r="D78" t="n" s="5">
        <f>185.30</f>
        <v>0.0</v>
      </c>
      <c r="E78" t="n" s="5">
        <f>24.60</f>
        <v>0.0</v>
      </c>
      <c r="F78" t="n" s="5">
        <f>22.00</f>
        <v>0.0</v>
      </c>
      <c r="G78" t="n" s="5">
        <f>103.95</f>
        <v>0.0</v>
      </c>
      <c r="H78" t="n" s="5">
        <f>22.00</f>
        <v>0.0</v>
      </c>
      <c r="I78" t="n" s="5">
        <f>284.81</f>
        <v>0.0</v>
      </c>
      <c r="J78" s="4"/>
      <c r="K78" s="4"/>
      <c r="L78" s="4"/>
      <c r="M78" t="n" s="5">
        <f>((((((((((B78)+(C78))+(D78))+(E78))+(F78))+(G78))+(H78))+(I78))+(J78))+(K78))+(L78)</f>
        <v>0.0</v>
      </c>
    </row>
    <row r="79">
      <c r="A79" t="s" s="3">
        <v>85</v>
      </c>
      <c r="B79" t="n" s="5">
        <f>861.47</f>
        <v>0.0</v>
      </c>
      <c r="C79" t="n" s="5">
        <f>736.92</f>
        <v>0.0</v>
      </c>
      <c r="D79" t="n" s="5">
        <f>397.08</f>
        <v>0.0</v>
      </c>
      <c r="E79" t="n" s="5">
        <f>167.18</f>
        <v>0.0</v>
      </c>
      <c r="F79" t="n" s="5">
        <f>204.51</f>
        <v>0.0</v>
      </c>
      <c r="G79" t="n" s="5">
        <f>19.90</f>
        <v>0.0</v>
      </c>
      <c r="H79" t="n" s="5">
        <f>184.83</f>
        <v>0.0</v>
      </c>
      <c r="I79" t="n" s="5">
        <f>38.48</f>
        <v>0.0</v>
      </c>
      <c r="J79" s="4"/>
      <c r="K79" s="4"/>
      <c r="L79" s="4"/>
      <c r="M79" t="n" s="5">
        <f>((((((((((B79)+(C79))+(D79))+(E79))+(F79))+(G79))+(H79))+(I79))+(J79))+(K79))+(L79)</f>
        <v>0.0</v>
      </c>
    </row>
    <row r="80">
      <c r="A80" t="s" s="3">
        <v>86</v>
      </c>
      <c r="B80" t="n" s="6">
        <f>((B77)+(B78))+(B79)</f>
        <v>0.0</v>
      </c>
      <c r="C80" t="n" s="6">
        <f>((C77)+(C78))+(C79)</f>
        <v>0.0</v>
      </c>
      <c r="D80" t="n" s="6">
        <f>((D77)+(D78))+(D79)</f>
        <v>0.0</v>
      </c>
      <c r="E80" t="n" s="6">
        <f>((E77)+(E78))+(E79)</f>
        <v>0.0</v>
      </c>
      <c r="F80" t="n" s="6">
        <f>((F77)+(F78))+(F79)</f>
        <v>0.0</v>
      </c>
      <c r="G80" t="n" s="6">
        <f>((G77)+(G78))+(G79)</f>
        <v>0.0</v>
      </c>
      <c r="H80" t="n" s="6">
        <f>((H77)+(H78))+(H79)</f>
        <v>0.0</v>
      </c>
      <c r="I80" t="n" s="6">
        <f>((I77)+(I78))+(I79)</f>
        <v>0.0</v>
      </c>
      <c r="J80" t="n" s="6">
        <f>((J77)+(J78))+(J79)</f>
        <v>0.0</v>
      </c>
      <c r="K80" t="n" s="6">
        <f>((K77)+(K78))+(K79)</f>
        <v>0.0</v>
      </c>
      <c r="L80" t="n" s="6">
        <f>((L77)+(L78))+(L79)</f>
        <v>0.0</v>
      </c>
      <c r="M80" t="n" s="6">
        <f>((((((((((B80)+(C80))+(D80))+(E80))+(F80))+(G80))+(H80))+(I80))+(J80))+(K80))+(L80)</f>
        <v>0.0</v>
      </c>
    </row>
    <row r="81">
      <c r="A81" t="s" s="3">
        <v>87</v>
      </c>
      <c r="B81" t="n" s="5">
        <f>158.88</f>
        <v>0.0</v>
      </c>
      <c r="C81" s="4"/>
      <c r="D81" s="4"/>
      <c r="E81" s="4"/>
      <c r="F81" s="4"/>
      <c r="G81" s="4"/>
      <c r="H81" t="n" s="5">
        <f>264.00</f>
        <v>0.0</v>
      </c>
      <c r="I81" s="4"/>
      <c r="J81" s="4"/>
      <c r="K81" s="4"/>
      <c r="L81" s="4"/>
      <c r="M81" t="n" s="5">
        <f>((((((((((B81)+(C81))+(D81))+(E81))+(F81))+(G81))+(H81))+(I81))+(J81))+(K81))+(L81)</f>
        <v>0.0</v>
      </c>
    </row>
    <row r="82">
      <c r="A82" t="s" s="3">
        <v>88</v>
      </c>
      <c r="B82" t="n" s="5">
        <f>1400.23</f>
        <v>0.0</v>
      </c>
      <c r="C82" t="n" s="5">
        <f>1502.94</f>
        <v>0.0</v>
      </c>
      <c r="D82" t="n" s="5">
        <f>1304.68</f>
        <v>0.0</v>
      </c>
      <c r="E82" t="n" s="5">
        <f>1219.93</f>
        <v>0.0</v>
      </c>
      <c r="F82" t="n" s="5">
        <f>1516.86</f>
        <v>0.0</v>
      </c>
      <c r="G82" t="n" s="5">
        <f>1536.59</f>
        <v>0.0</v>
      </c>
      <c r="H82" t="n" s="5">
        <f>1521.42</f>
        <v>0.0</v>
      </c>
      <c r="I82" t="n" s="5">
        <f>1373.27</f>
        <v>0.0</v>
      </c>
      <c r="J82" t="n" s="5">
        <f>59.72</f>
        <v>0.0</v>
      </c>
      <c r="K82" s="4"/>
      <c r="L82" s="4"/>
      <c r="M82" t="n" s="5">
        <f>((((((((((B82)+(C82))+(D82))+(E82))+(F82))+(G82))+(H82))+(I82))+(J82))+(K82))+(L82)</f>
        <v>0.0</v>
      </c>
    </row>
    <row r="83">
      <c r="A83" t="s" s="3">
        <v>89</v>
      </c>
      <c r="B83" t="n" s="5">
        <f>39.99</f>
        <v>0.0</v>
      </c>
      <c r="C83" t="n" s="5">
        <f>39.99</f>
        <v>0.0</v>
      </c>
      <c r="D83" t="n" s="5">
        <f>39.99</f>
        <v>0.0</v>
      </c>
      <c r="E83" s="4"/>
      <c r="F83" s="4"/>
      <c r="G83" s="4"/>
      <c r="H83" t="n" s="5">
        <f>20.00</f>
        <v>0.0</v>
      </c>
      <c r="I83" s="4"/>
      <c r="J83" s="4"/>
      <c r="K83" s="4"/>
      <c r="L83" s="4"/>
      <c r="M83" t="n" s="5">
        <f>((((((((((B83)+(C83))+(D83))+(E83))+(F83))+(G83))+(H83))+(I83))+(J83))+(K83))+(L83)</f>
        <v>0.0</v>
      </c>
    </row>
    <row r="84">
      <c r="A84" t="s" s="3">
        <v>90</v>
      </c>
      <c r="B84" t="n" s="5">
        <f>155.00</f>
        <v>0.0</v>
      </c>
      <c r="C84" t="n" s="5">
        <f>110.00</f>
        <v>0.0</v>
      </c>
      <c r="D84" t="n" s="5">
        <f>6.00</f>
        <v>0.0</v>
      </c>
      <c r="E84" t="n" s="5">
        <f>45.00</f>
        <v>0.0</v>
      </c>
      <c r="F84" s="4"/>
      <c r="G84" s="4"/>
      <c r="H84" t="n" s="5">
        <f>15.00</f>
        <v>0.0</v>
      </c>
      <c r="I84" s="4"/>
      <c r="J84" s="4"/>
      <c r="K84" s="4"/>
      <c r="L84" s="4"/>
      <c r="M84" t="n" s="5">
        <f>((((((((((B84)+(C84))+(D84))+(E84))+(F84))+(G84))+(H84))+(I84))+(J84))+(K84))+(L84)</f>
        <v>0.0</v>
      </c>
    </row>
    <row r="85">
      <c r="A85" t="s" s="3">
        <v>91</v>
      </c>
      <c r="B85" s="4"/>
      <c r="C85" s="4"/>
      <c r="D85" s="4"/>
      <c r="E85" t="n" s="5">
        <f>1059.48</f>
        <v>0.0</v>
      </c>
      <c r="F85" t="n" s="5">
        <f>1273.96</f>
        <v>0.0</v>
      </c>
      <c r="G85" t="n" s="5">
        <f>104.00</f>
        <v>0.0</v>
      </c>
      <c r="H85" t="n" s="5">
        <f>250.59</f>
        <v>0.0</v>
      </c>
      <c r="I85" t="n" s="5">
        <f>301.10</f>
        <v>0.0</v>
      </c>
      <c r="J85" s="4"/>
      <c r="K85" s="4"/>
      <c r="L85" s="4"/>
      <c r="M85" t="n" s="5">
        <f>((((((((((B85)+(C85))+(D85))+(E85))+(F85))+(G85))+(H85))+(I85))+(J85))+(K85))+(L85)</f>
        <v>0.0</v>
      </c>
    </row>
    <row r="86">
      <c r="A86" t="s" s="3">
        <v>92</v>
      </c>
      <c r="B86" t="n" s="5">
        <f>95.00</f>
        <v>0.0</v>
      </c>
      <c r="C86" s="4"/>
      <c r="D86" s="4"/>
      <c r="E86" s="4"/>
      <c r="F86" t="n" s="5">
        <f>95.00</f>
        <v>0.0</v>
      </c>
      <c r="G86" s="4"/>
      <c r="H86" t="n" s="5">
        <f>30.00</f>
        <v>0.0</v>
      </c>
      <c r="I86" t="n" s="5">
        <f>30.00</f>
        <v>0.0</v>
      </c>
      <c r="J86" s="4"/>
      <c r="K86" s="4"/>
      <c r="L86" s="4"/>
      <c r="M86" t="n" s="5">
        <f>((((((((((B86)+(C86))+(D86))+(E86))+(F86))+(G86))+(H86))+(I86))+(J86))+(K86))+(L86)</f>
        <v>0.0</v>
      </c>
    </row>
    <row r="87">
      <c r="A87" t="s" s="3">
        <v>93</v>
      </c>
      <c r="B87" t="n" s="5">
        <f>40.23</f>
        <v>0.0</v>
      </c>
      <c r="C87" t="n" s="5">
        <f>30.57</f>
        <v>0.0</v>
      </c>
      <c r="D87" t="n" s="5">
        <f>9.61</f>
        <v>0.0</v>
      </c>
      <c r="E87" s="4"/>
      <c r="F87" s="4"/>
      <c r="G87" s="4"/>
      <c r="H87" s="4"/>
      <c r="I87" s="4"/>
      <c r="J87" s="4"/>
      <c r="K87" s="4"/>
      <c r="L87" s="4"/>
      <c r="M87" t="n" s="5">
        <f>((((((((((B87)+(C87))+(D87))+(E87))+(F87))+(G87))+(H87))+(I87))+(J87))+(K87))+(L87)</f>
        <v>0.0</v>
      </c>
    </row>
    <row r="88">
      <c r="A88" t="s" s="3">
        <v>94</v>
      </c>
      <c r="B88" t="n" s="5">
        <f>372.00</f>
        <v>0.0</v>
      </c>
      <c r="C88" t="n" s="5">
        <f>136.00</f>
        <v>0.0</v>
      </c>
      <c r="D88" s="4"/>
      <c r="E88" t="n" s="5">
        <f>170.00</f>
        <v>0.0</v>
      </c>
      <c r="F88" t="n" s="5">
        <f>34.00</f>
        <v>0.0</v>
      </c>
      <c r="G88" s="4"/>
      <c r="H88" s="4"/>
      <c r="I88" s="4"/>
      <c r="J88" s="4"/>
      <c r="K88" s="4"/>
      <c r="L88" s="4"/>
      <c r="M88" t="n" s="5">
        <f>((((((((((B88)+(C88))+(D88))+(E88))+(F88))+(G88))+(H88))+(I88))+(J88))+(K88))+(L88)</f>
        <v>0.0</v>
      </c>
    </row>
    <row r="89">
      <c r="A89" t="s" s="3">
        <v>95</v>
      </c>
      <c r="B89" t="n" s="5">
        <f>992.65</f>
        <v>0.0</v>
      </c>
      <c r="C89" t="n" s="5">
        <f>2129.54</f>
        <v>0.0</v>
      </c>
      <c r="D89" t="n" s="5">
        <f>389.82</f>
        <v>0.0</v>
      </c>
      <c r="E89" t="n" s="5">
        <f>279.04</f>
        <v>0.0</v>
      </c>
      <c r="F89" t="n" s="5">
        <f>24.73</f>
        <v>0.0</v>
      </c>
      <c r="G89" t="n" s="5">
        <f>96.10</f>
        <v>0.0</v>
      </c>
      <c r="H89" t="n" s="5">
        <f>238.25</f>
        <v>0.0</v>
      </c>
      <c r="I89" t="n" s="5">
        <f>15.82</f>
        <v>0.0</v>
      </c>
      <c r="J89" s="4"/>
      <c r="K89" s="4"/>
      <c r="L89" s="4"/>
      <c r="M89" t="n" s="5">
        <f>((((((((((B89)+(C89))+(D89))+(E89))+(F89))+(G89))+(H89))+(I89))+(J89))+(K89))+(L89)</f>
        <v>0.0</v>
      </c>
    </row>
    <row r="90">
      <c r="A90" t="s" s="3">
        <v>96</v>
      </c>
      <c r="B90" t="n" s="5">
        <f>138.50</f>
        <v>0.0</v>
      </c>
      <c r="C90" t="n" s="5">
        <f>331.21</f>
        <v>0.0</v>
      </c>
      <c r="D90" t="n" s="5">
        <f>89.00</f>
        <v>0.0</v>
      </c>
      <c r="E90" t="n" s="5">
        <f>3.00</f>
        <v>0.0</v>
      </c>
      <c r="F90" t="n" s="5">
        <f>39.00</f>
        <v>0.0</v>
      </c>
      <c r="G90" s="4"/>
      <c r="H90" s="4"/>
      <c r="I90" s="4"/>
      <c r="J90" s="4"/>
      <c r="K90" s="4"/>
      <c r="L90" s="4"/>
      <c r="M90" t="n" s="5">
        <f>((((((((((B90)+(C90))+(D90))+(E90))+(F90))+(G90))+(H90))+(I90))+(J90))+(K90))+(L90)</f>
        <v>0.0</v>
      </c>
    </row>
    <row r="91">
      <c r="A91" t="s" s="3">
        <v>97</v>
      </c>
      <c r="B91" t="n" s="6">
        <f>(((((B85)+(B86))+(B87))+(B88))+(B89))+(B90)</f>
        <v>0.0</v>
      </c>
      <c r="C91" t="n" s="6">
        <f>(((((C85)+(C86))+(C87))+(C88))+(C89))+(C90)</f>
        <v>0.0</v>
      </c>
      <c r="D91" t="n" s="6">
        <f>(((((D85)+(D86))+(D87))+(D88))+(D89))+(D90)</f>
        <v>0.0</v>
      </c>
      <c r="E91" t="n" s="6">
        <f>(((((E85)+(E86))+(E87))+(E88))+(E89))+(E90)</f>
        <v>0.0</v>
      </c>
      <c r="F91" t="n" s="6">
        <f>(((((F85)+(F86))+(F87))+(F88))+(F89))+(F90)</f>
        <v>0.0</v>
      </c>
      <c r="G91" t="n" s="6">
        <f>(((((G85)+(G86))+(G87))+(G88))+(G89))+(G90)</f>
        <v>0.0</v>
      </c>
      <c r="H91" t="n" s="6">
        <f>(((((H85)+(H86))+(H87))+(H88))+(H89))+(H90)</f>
        <v>0.0</v>
      </c>
      <c r="I91" t="n" s="6">
        <f>(((((I85)+(I86))+(I87))+(I88))+(I89))+(I90)</f>
        <v>0.0</v>
      </c>
      <c r="J91" t="n" s="6">
        <f>(((((J85)+(J86))+(J87))+(J88))+(J89))+(J90)</f>
        <v>0.0</v>
      </c>
      <c r="K91" t="n" s="6">
        <f>(((((K85)+(K86))+(K87))+(K88))+(K89))+(K90)</f>
        <v>0.0</v>
      </c>
      <c r="L91" t="n" s="6">
        <f>(((((L85)+(L86))+(L87))+(L88))+(L89))+(L90)</f>
        <v>0.0</v>
      </c>
      <c r="M91" t="n" s="6">
        <f>((((((((((B91)+(C91))+(D91))+(E91))+(F91))+(G91))+(H91))+(I91))+(J91))+(K91))+(L91)</f>
        <v>0.0</v>
      </c>
    </row>
    <row r="92">
      <c r="A92" t="s" s="3">
        <v>98</v>
      </c>
      <c r="B92" t="n" s="5">
        <f>313.98</f>
        <v>0.0</v>
      </c>
      <c r="C92" t="n" s="5">
        <f>325.57</f>
        <v>0.0</v>
      </c>
      <c r="D92" t="n" s="5">
        <f>22.31</f>
        <v>0.0</v>
      </c>
      <c r="E92" s="4"/>
      <c r="F92" t="n" s="5">
        <f>32.67</f>
        <v>0.0</v>
      </c>
      <c r="G92" s="4"/>
      <c r="H92" t="n" s="5">
        <f>208.28</f>
        <v>0.0</v>
      </c>
      <c r="I92" s="4"/>
      <c r="J92" s="4"/>
      <c r="K92" s="4"/>
      <c r="L92" s="4"/>
      <c r="M92" t="n" s="5">
        <f>((((((((((B92)+(C92))+(D92))+(E92))+(F92))+(G92))+(H92))+(I92))+(J92))+(K92))+(L92)</f>
        <v>0.0</v>
      </c>
    </row>
    <row r="93">
      <c r="A93" t="s" s="3">
        <v>99</v>
      </c>
      <c r="B93" s="4"/>
      <c r="C93" s="4"/>
      <c r="D93" s="4"/>
      <c r="E93" s="4"/>
      <c r="F93" s="4"/>
      <c r="G93" s="4"/>
      <c r="H93" t="n" s="5">
        <f>16.04</f>
        <v>0.0</v>
      </c>
      <c r="I93" s="4"/>
      <c r="J93" s="4"/>
      <c r="K93" s="4"/>
      <c r="L93" s="4"/>
      <c r="M93" t="n" s="5">
        <f>((((((((((B93)+(C93))+(D93))+(E93))+(F93))+(G93))+(H93))+(I93))+(J93))+(K93))+(L93)</f>
        <v>0.0</v>
      </c>
    </row>
    <row r="94">
      <c r="A94" t="s" s="3">
        <v>100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t="n" s="5">
        <f>((((((((((B94)+(C94))+(D94))+(E94))+(F94))+(G94))+(H94))+(I94))+(J94))+(K94))+(L94)</f>
        <v>0.0</v>
      </c>
    </row>
    <row r="95">
      <c r="A95" t="s" s="3">
        <v>101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t="n" s="5">
        <f>((((((((((B95)+(C95))+(D95))+(E95))+(F95))+(G95))+(H95))+(I95))+(J95))+(K95))+(L95)</f>
        <v>0.0</v>
      </c>
    </row>
    <row r="96">
      <c r="A96" t="s" s="3">
        <v>102</v>
      </c>
      <c r="B96" t="n" s="5">
        <f>474.24</f>
        <v>0.0</v>
      </c>
      <c r="C96" t="n" s="5">
        <f>676.60</f>
        <v>0.0</v>
      </c>
      <c r="D96" t="n" s="5">
        <f>349.56</f>
        <v>0.0</v>
      </c>
      <c r="E96" t="n" s="5">
        <f>120.00</f>
        <v>0.0</v>
      </c>
      <c r="F96" t="n" s="5">
        <f>191.33</f>
        <v>0.0</v>
      </c>
      <c r="G96" s="4"/>
      <c r="H96" s="4"/>
      <c r="I96" s="4"/>
      <c r="J96" s="4"/>
      <c r="K96" s="4"/>
      <c r="L96" s="4"/>
      <c r="M96" t="n" s="5">
        <f>((((((((((B96)+(C96))+(D96))+(E96))+(F96))+(G96))+(H96))+(I96))+(J96))+(K96))+(L96)</f>
        <v>0.0</v>
      </c>
    </row>
    <row r="97">
      <c r="A97" t="s" s="3">
        <v>103</v>
      </c>
      <c r="B97" t="n" s="6">
        <f>(B95)+(B96)</f>
        <v>0.0</v>
      </c>
      <c r="C97" t="n" s="6">
        <f>(C95)+(C96)</f>
        <v>0.0</v>
      </c>
      <c r="D97" t="n" s="6">
        <f>(D95)+(D96)</f>
        <v>0.0</v>
      </c>
      <c r="E97" t="n" s="6">
        <f>(E95)+(E96)</f>
        <v>0.0</v>
      </c>
      <c r="F97" t="n" s="6">
        <f>(F95)+(F96)</f>
        <v>0.0</v>
      </c>
      <c r="G97" t="n" s="6">
        <f>(G95)+(G96)</f>
        <v>0.0</v>
      </c>
      <c r="H97" t="n" s="6">
        <f>(H95)+(H96)</f>
        <v>0.0</v>
      </c>
      <c r="I97" t="n" s="6">
        <f>(I95)+(I96)</f>
        <v>0.0</v>
      </c>
      <c r="J97" t="n" s="6">
        <f>(J95)+(J96)</f>
        <v>0.0</v>
      </c>
      <c r="K97" t="n" s="6">
        <f>(K95)+(K96)</f>
        <v>0.0</v>
      </c>
      <c r="L97" t="n" s="6">
        <f>(L95)+(L96)</f>
        <v>0.0</v>
      </c>
      <c r="M97" t="n" s="6">
        <f>((((((((((B97)+(C97))+(D97))+(E97))+(F97))+(G97))+(H97))+(I97))+(J97))+(K97))+(L97)</f>
        <v>0.0</v>
      </c>
    </row>
    <row r="98">
      <c r="A98" t="s" s="3">
        <v>104</v>
      </c>
      <c r="B98" t="n" s="5">
        <f>2095.38</f>
        <v>0.0</v>
      </c>
      <c r="C98" t="n" s="5">
        <f>3104.13</f>
        <v>0.0</v>
      </c>
      <c r="D98" t="n" s="5">
        <f>870.18</f>
        <v>0.0</v>
      </c>
      <c r="E98" t="n" s="5">
        <f>263.25</f>
        <v>0.0</v>
      </c>
      <c r="F98" t="n" s="5">
        <f>407.48</f>
        <v>0.0</v>
      </c>
      <c r="G98" s="4"/>
      <c r="H98" s="4"/>
      <c r="I98" s="4"/>
      <c r="J98" s="4"/>
      <c r="K98" s="4"/>
      <c r="L98" s="4"/>
      <c r="M98" t="n" s="5">
        <f>((((((((((B98)+(C98))+(D98))+(E98))+(F98))+(G98))+(H98))+(I98))+(J98))+(K98))+(L98)</f>
        <v>0.0</v>
      </c>
    </row>
    <row r="99">
      <c r="A99" t="s" s="3">
        <v>105</v>
      </c>
      <c r="B99" t="n" s="5">
        <f>20095.91</f>
        <v>0.0</v>
      </c>
      <c r="C99" t="n" s="5">
        <f>28960.75</f>
        <v>0.0</v>
      </c>
      <c r="D99" t="n" s="5">
        <f>8739.00</f>
        <v>0.0</v>
      </c>
      <c r="E99" t="n" s="5">
        <f>3000.00</f>
        <v>0.0</v>
      </c>
      <c r="F99" t="n" s="5">
        <f>5387.22</f>
        <v>0.0</v>
      </c>
      <c r="G99" s="4"/>
      <c r="H99" s="4"/>
      <c r="I99" s="4"/>
      <c r="J99" s="4"/>
      <c r="K99" s="4"/>
      <c r="L99" s="4"/>
      <c r="M99" t="n" s="5">
        <f>((((((((((B99)+(C99))+(D99))+(E99))+(F99))+(G99))+(H99))+(I99))+(J99))+(K99))+(L99)</f>
        <v>0.0</v>
      </c>
    </row>
    <row r="100">
      <c r="A100" t="s" s="3">
        <v>106</v>
      </c>
      <c r="B100" t="n" s="6">
        <f>(((B94)+(B97))+(B98))+(B99)</f>
        <v>0.0</v>
      </c>
      <c r="C100" t="n" s="6">
        <f>(((C94)+(C97))+(C98))+(C99)</f>
        <v>0.0</v>
      </c>
      <c r="D100" t="n" s="6">
        <f>(((D94)+(D97))+(D98))+(D99)</f>
        <v>0.0</v>
      </c>
      <c r="E100" t="n" s="6">
        <f>(((E94)+(E97))+(E98))+(E99)</f>
        <v>0.0</v>
      </c>
      <c r="F100" t="n" s="6">
        <f>(((F94)+(F97))+(F98))+(F99)</f>
        <v>0.0</v>
      </c>
      <c r="G100" t="n" s="6">
        <f>(((G94)+(G97))+(G98))+(G99)</f>
        <v>0.0</v>
      </c>
      <c r="H100" t="n" s="6">
        <f>(((H94)+(H97))+(H98))+(H99)</f>
        <v>0.0</v>
      </c>
      <c r="I100" t="n" s="6">
        <f>(((I94)+(I97))+(I98))+(I99)</f>
        <v>0.0</v>
      </c>
      <c r="J100" t="n" s="6">
        <f>(((J94)+(J97))+(J98))+(J99)</f>
        <v>0.0</v>
      </c>
      <c r="K100" t="n" s="6">
        <f>(((K94)+(K97))+(K98))+(K99)</f>
        <v>0.0</v>
      </c>
      <c r="L100" t="n" s="6">
        <f>(((L94)+(L97))+(L98))+(L99)</f>
        <v>0.0</v>
      </c>
      <c r="M100" t="n" s="6">
        <f>((((((((((B100)+(C100))+(D100))+(E100))+(F100))+(G100))+(H100))+(I100))+(J100))+(K100))+(L100)</f>
        <v>0.0</v>
      </c>
    </row>
    <row r="101">
      <c r="A101" t="s" s="3">
        <v>107</v>
      </c>
      <c r="B101" s="4"/>
      <c r="C101" s="4"/>
      <c r="D101" s="4"/>
      <c r="E101" s="4"/>
      <c r="F101" s="4"/>
      <c r="G101" s="4"/>
      <c r="H101" s="4"/>
      <c r="I101" s="4"/>
      <c r="J101" t="n" s="5">
        <f>19.37</f>
        <v>0.0</v>
      </c>
      <c r="K101" s="4"/>
      <c r="L101" s="4"/>
      <c r="M101" t="n" s="5">
        <f>((((((((((B101)+(C101))+(D101))+(E101))+(F101))+(G101))+(H101))+(I101))+(J101))+(K101))+(L101)</f>
        <v>0.0</v>
      </c>
    </row>
    <row r="102">
      <c r="A102" t="s" s="3">
        <v>108</v>
      </c>
      <c r="B102" s="4"/>
      <c r="C102" s="4"/>
      <c r="D102" t="n" s="5">
        <f>1860.00</f>
        <v>0.0</v>
      </c>
      <c r="E102" t="n" s="5">
        <f>360.00</f>
        <v>0.0</v>
      </c>
      <c r="F102" t="n" s="5">
        <f>-333.89</f>
        <v>0.0</v>
      </c>
      <c r="G102" t="n" s="5">
        <f>1962.50</f>
        <v>0.0</v>
      </c>
      <c r="H102" t="n" s="5">
        <f>880.00</f>
        <v>0.0</v>
      </c>
      <c r="I102" s="4"/>
      <c r="J102" s="4"/>
      <c r="K102" s="4"/>
      <c r="L102" s="4"/>
      <c r="M102" t="n" s="5">
        <f>((((((((((B102)+(C102))+(D102))+(E102))+(F102))+(G102))+(H102))+(I102))+(J102))+(K102))+(L102)</f>
        <v>0.0</v>
      </c>
    </row>
    <row r="103">
      <c r="A103" t="s" s="3">
        <v>109</v>
      </c>
      <c r="B103" t="n" s="5">
        <f>30.00</f>
        <v>0.0</v>
      </c>
      <c r="C103" s="4"/>
      <c r="D103" t="n" s="5">
        <f>1238.72</f>
        <v>0.0</v>
      </c>
      <c r="E103" t="n" s="5">
        <f>1908.08</f>
        <v>0.0</v>
      </c>
      <c r="F103" t="n" s="5">
        <f>234.00</f>
        <v>0.0</v>
      </c>
      <c r="G103" t="n" s="5">
        <f>290.00</f>
        <v>0.0</v>
      </c>
      <c r="H103" s="4"/>
      <c r="I103" s="4"/>
      <c r="J103" s="4"/>
      <c r="K103" s="4"/>
      <c r="L103" s="4"/>
      <c r="M103" t="n" s="5">
        <f>((((((((((B103)+(C103))+(D103))+(E103))+(F103))+(G103))+(H103))+(I103))+(J103))+(K103))+(L103)</f>
        <v>0.0</v>
      </c>
    </row>
    <row r="104">
      <c r="A104" t="s" s="3">
        <v>110</v>
      </c>
      <c r="B104" t="n" s="5">
        <f>2539.63</f>
        <v>0.0</v>
      </c>
      <c r="C104" t="n" s="5">
        <f>1537.18</f>
        <v>0.0</v>
      </c>
      <c r="D104" t="n" s="5">
        <f>1831.34</f>
        <v>0.0</v>
      </c>
      <c r="E104" t="n" s="5">
        <f>58.34</f>
        <v>0.0</v>
      </c>
      <c r="F104" t="n" s="5">
        <f>19.99</f>
        <v>0.0</v>
      </c>
      <c r="G104" t="n" s="5">
        <f>1563.17</f>
        <v>0.0</v>
      </c>
      <c r="H104" t="n" s="5">
        <f>146.97</f>
        <v>0.0</v>
      </c>
      <c r="I104" t="n" s="5">
        <f>683.55</f>
        <v>0.0</v>
      </c>
      <c r="J104" s="4"/>
      <c r="K104" s="4"/>
      <c r="L104" s="4"/>
      <c r="M104" t="n" s="5">
        <f>((((((((((B104)+(C104))+(D104))+(E104))+(F104))+(G104))+(H104))+(I104))+(J104))+(K104))+(L104)</f>
        <v>0.0</v>
      </c>
    </row>
    <row r="105">
      <c r="A105" t="s" s="3">
        <v>111</v>
      </c>
      <c r="B105" s="4"/>
      <c r="C105" s="4"/>
      <c r="D105" s="4"/>
      <c r="E105" s="4"/>
      <c r="F105" s="4"/>
      <c r="G105" s="4"/>
      <c r="H105" s="4"/>
      <c r="I105" s="4"/>
      <c r="J105" s="4"/>
      <c r="K105" t="n" s="5">
        <f>13.09</f>
        <v>0.0</v>
      </c>
      <c r="L105" s="4"/>
      <c r="M105" t="n" s="5">
        <f>((((((((((B105)+(C105))+(D105))+(E105))+(F105))+(G105))+(H105))+(I105))+(J105))+(K105))+(L105)</f>
        <v>0.0</v>
      </c>
    </row>
    <row r="106">
      <c r="A106" t="s" s="3">
        <v>112</v>
      </c>
      <c r="B106" t="n" s="5">
        <f>900.00</f>
        <v>0.0</v>
      </c>
      <c r="C106" t="n" s="5">
        <f>1125.00</f>
        <v>0.0</v>
      </c>
      <c r="D106" s="4"/>
      <c r="E106" s="4"/>
      <c r="F106" s="4"/>
      <c r="G106" s="4"/>
      <c r="H106" s="4"/>
      <c r="I106" s="4"/>
      <c r="J106" s="4"/>
      <c r="K106" s="4"/>
      <c r="L106" s="4"/>
      <c r="M106" t="n" s="5">
        <f>((((((((((B106)+(C106))+(D106))+(E106))+(F106))+(G106))+(H106))+(I106))+(J106))+(K106))+(L106)</f>
        <v>0.0</v>
      </c>
    </row>
    <row r="107">
      <c r="A107" t="s" s="3">
        <v>113</v>
      </c>
      <c r="B107" t="n" s="5">
        <f>3450.00</f>
        <v>0.0</v>
      </c>
      <c r="C107" t="n" s="5">
        <f>1900.00</f>
        <v>0.0</v>
      </c>
      <c r="D107" t="n" s="5">
        <f>2007.00</f>
        <v>0.0</v>
      </c>
      <c r="E107" t="n" s="5">
        <f>1900.00</f>
        <v>0.0</v>
      </c>
      <c r="F107" t="n" s="5">
        <f>1900.00</f>
        <v>0.0</v>
      </c>
      <c r="G107" t="n" s="5">
        <f>1001.00</f>
        <v>0.0</v>
      </c>
      <c r="H107" t="n" s="5">
        <f>760.00</f>
        <v>0.0</v>
      </c>
      <c r="I107" t="n" s="5">
        <f>0.00</f>
        <v>0.0</v>
      </c>
      <c r="J107" t="n" s="5">
        <f>0.00</f>
        <v>0.0</v>
      </c>
      <c r="K107" s="4"/>
      <c r="L107" s="4"/>
      <c r="M107" t="n" s="5">
        <f>((((((((((B107)+(C107))+(D107))+(E107))+(F107))+(G107))+(H107))+(I107))+(J107))+(K107))+(L107)</f>
        <v>0.0</v>
      </c>
    </row>
    <row r="108">
      <c r="A108" t="s" s="3">
        <v>114</v>
      </c>
      <c r="B108" s="4"/>
      <c r="C108" s="4"/>
      <c r="D108" t="n" s="5">
        <f>3.84</f>
        <v>0.0</v>
      </c>
      <c r="E108" s="4"/>
      <c r="F108" s="4"/>
      <c r="G108" s="4"/>
      <c r="H108" s="4"/>
      <c r="I108" s="4"/>
      <c r="J108" s="4"/>
      <c r="K108" s="4"/>
      <c r="L108" s="4"/>
      <c r="M108" t="n" s="5">
        <f>((((((((((B108)+(C108))+(D108))+(E108))+(F108))+(G108))+(H108))+(I108))+(J108))+(K108))+(L108)</f>
        <v>0.0</v>
      </c>
    </row>
    <row r="109">
      <c r="A109" t="s" s="3">
        <v>115</v>
      </c>
      <c r="B109" s="4"/>
      <c r="C109" s="4"/>
      <c r="D109" s="4"/>
      <c r="E109" s="4"/>
      <c r="F109" s="4"/>
      <c r="G109" s="4"/>
      <c r="H109" t="n" s="5">
        <f>11.55</f>
        <v>0.0</v>
      </c>
      <c r="I109" t="n" s="5">
        <f>342.62</f>
        <v>0.0</v>
      </c>
      <c r="J109" s="4"/>
      <c r="K109" s="4"/>
      <c r="L109" s="4"/>
      <c r="M109" t="n" s="5">
        <f>((((((((((B109)+(C109))+(D109))+(E109))+(F109))+(G109))+(H109))+(I109))+(J109))+(K109))+(L109)</f>
        <v>0.0</v>
      </c>
    </row>
    <row r="110">
      <c r="A110" t="s" s="3">
        <v>116</v>
      </c>
      <c r="B110" t="n" s="5">
        <f>511.36</f>
        <v>0.0</v>
      </c>
      <c r="C110" s="4"/>
      <c r="D110" s="4"/>
      <c r="E110" t="n" s="5">
        <f>1172.00</f>
        <v>0.0</v>
      </c>
      <c r="F110" s="4"/>
      <c r="G110" s="4"/>
      <c r="H110" s="4"/>
      <c r="I110" s="4"/>
      <c r="J110" s="4"/>
      <c r="K110" s="4"/>
      <c r="L110" s="4"/>
      <c r="M110" t="n" s="5">
        <f>((((((((((B110)+(C110))+(D110))+(E110))+(F110))+(G110))+(H110))+(I110))+(J110))+(K110))+(L110)</f>
        <v>0.0</v>
      </c>
    </row>
    <row r="111">
      <c r="A111" t="s" s="3">
        <v>117</v>
      </c>
      <c r="B111" s="4"/>
      <c r="C111" s="4"/>
      <c r="D111" s="4"/>
      <c r="E111" s="4"/>
      <c r="F111" s="4"/>
      <c r="G111" s="4"/>
      <c r="H111" t="n" s="5">
        <f>39.36</f>
        <v>0.0</v>
      </c>
      <c r="I111" s="4"/>
      <c r="J111" s="4"/>
      <c r="K111" s="4"/>
      <c r="L111" s="4"/>
      <c r="M111" t="n" s="5">
        <f>((((((((((B111)+(C111))+(D111))+(E111))+(F111))+(G111))+(H111))+(I111))+(J111))+(K111))+(L111)</f>
        <v>0.0</v>
      </c>
    </row>
    <row r="112">
      <c r="A112" t="s" s="3">
        <v>118</v>
      </c>
      <c r="B112" t="n" s="6">
        <f>((((((((((((((((((((((B74)+(B75))+(B76))+(B80))+(B81))+(B82))+(B83))+(B84))+(B91))+(B92))+(B93))+(B100))+(B101))+(B102))+(B103))+(B104))+(B105))+(B106))+(B107))+(B108))+(B109))+(B110))+(B111)</f>
        <v>0.0</v>
      </c>
      <c r="C112" t="n" s="6">
        <f>((((((((((((((((((((((C74)+(C75))+(C76))+(C80))+(C81))+(C82))+(C83))+(C84))+(C91))+(C92))+(C93))+(C100))+(C101))+(C102))+(C103))+(C104))+(C105))+(C106))+(C107))+(C108))+(C109))+(C110))+(C111)</f>
        <v>0.0</v>
      </c>
      <c r="D112" t="n" s="6">
        <f>((((((((((((((((((((((D74)+(D75))+(D76))+(D80))+(D81))+(D82))+(D83))+(D84))+(D91))+(D92))+(D93))+(D100))+(D101))+(D102))+(D103))+(D104))+(D105))+(D106))+(D107))+(D108))+(D109))+(D110))+(D111)</f>
        <v>0.0</v>
      </c>
      <c r="E112" t="n" s="6">
        <f>((((((((((((((((((((((E74)+(E75))+(E76))+(E80))+(E81))+(E82))+(E83))+(E84))+(E91))+(E92))+(E93))+(E100))+(E101))+(E102))+(E103))+(E104))+(E105))+(E106))+(E107))+(E108))+(E109))+(E110))+(E111)</f>
        <v>0.0</v>
      </c>
      <c r="F112" t="n" s="6">
        <f>((((((((((((((((((((((F74)+(F75))+(F76))+(F80))+(F81))+(F82))+(F83))+(F84))+(F91))+(F92))+(F93))+(F100))+(F101))+(F102))+(F103))+(F104))+(F105))+(F106))+(F107))+(F108))+(F109))+(F110))+(F111)</f>
        <v>0.0</v>
      </c>
      <c r="G112" t="n" s="6">
        <f>((((((((((((((((((((((G74)+(G75))+(G76))+(G80))+(G81))+(G82))+(G83))+(G84))+(G91))+(G92))+(G93))+(G100))+(G101))+(G102))+(G103))+(G104))+(G105))+(G106))+(G107))+(G108))+(G109))+(G110))+(G111)</f>
        <v>0.0</v>
      </c>
      <c r="H112" t="n" s="6">
        <f>((((((((((((((((((((((H74)+(H75))+(H76))+(H80))+(H81))+(H82))+(H83))+(H84))+(H91))+(H92))+(H93))+(H100))+(H101))+(H102))+(H103))+(H104))+(H105))+(H106))+(H107))+(H108))+(H109))+(H110))+(H111)</f>
        <v>0.0</v>
      </c>
      <c r="I112" t="n" s="6">
        <f>((((((((((((((((((((((I74)+(I75))+(I76))+(I80))+(I81))+(I82))+(I83))+(I84))+(I91))+(I92))+(I93))+(I100))+(I101))+(I102))+(I103))+(I104))+(I105))+(I106))+(I107))+(I108))+(I109))+(I110))+(I111)</f>
        <v>0.0</v>
      </c>
      <c r="J112" t="n" s="6">
        <f>((((((((((((((((((((((J74)+(J75))+(J76))+(J80))+(J81))+(J82))+(J83))+(J84))+(J91))+(J92))+(J93))+(J100))+(J101))+(J102))+(J103))+(J104))+(J105))+(J106))+(J107))+(J108))+(J109))+(J110))+(J111)</f>
        <v>0.0</v>
      </c>
      <c r="K112" t="n" s="6">
        <f>((((((((((((((((((((((K74)+(K75))+(K76))+(K80))+(K81))+(K82))+(K83))+(K84))+(K91))+(K92))+(K93))+(K100))+(K101))+(K102))+(K103))+(K104))+(K105))+(K106))+(K107))+(K108))+(K109))+(K110))+(K111)</f>
        <v>0.0</v>
      </c>
      <c r="L112" t="n" s="6">
        <f>((((((((((((((((((((((L74)+(L75))+(L76))+(L80))+(L81))+(L82))+(L83))+(L84))+(L91))+(L92))+(L93))+(L100))+(L101))+(L102))+(L103))+(L104))+(L105))+(L106))+(L107))+(L108))+(L109))+(L110))+(L111)</f>
        <v>0.0</v>
      </c>
      <c r="M112" t="n" s="6">
        <f>((((((((((B112)+(C112))+(D112))+(E112))+(F112))+(G112))+(H112))+(I112))+(J112))+(K112))+(L112)</f>
        <v>0.0</v>
      </c>
    </row>
    <row r="113">
      <c r="A113" t="s" s="3">
        <v>119</v>
      </c>
      <c r="B113" t="n" s="6">
        <f>(B72)-(B112)</f>
        <v>0.0</v>
      </c>
      <c r="C113" t="n" s="6">
        <f>(C72)-(C112)</f>
        <v>0.0</v>
      </c>
      <c r="D113" t="n" s="6">
        <f>(D72)-(D112)</f>
        <v>0.0</v>
      </c>
      <c r="E113" t="n" s="6">
        <f>(E72)-(E112)</f>
        <v>0.0</v>
      </c>
      <c r="F113" t="n" s="6">
        <f>(F72)-(F112)</f>
        <v>0.0</v>
      </c>
      <c r="G113" t="n" s="6">
        <f>(G72)-(G112)</f>
        <v>0.0</v>
      </c>
      <c r="H113" t="n" s="6">
        <f>(H72)-(H112)</f>
        <v>0.0</v>
      </c>
      <c r="I113" t="n" s="6">
        <f>(I72)-(I112)</f>
        <v>0.0</v>
      </c>
      <c r="J113" t="n" s="6">
        <f>(J72)-(J112)</f>
        <v>0.0</v>
      </c>
      <c r="K113" t="n" s="6">
        <f>(K72)-(K112)</f>
        <v>0.0</v>
      </c>
      <c r="L113" t="n" s="6">
        <f>(L72)-(L112)</f>
        <v>0.0</v>
      </c>
      <c r="M113" t="n" s="6">
        <f>((((((((((B113)+(C113))+(D113))+(E113))+(F113))+(G113))+(H113))+(I113))+(J113))+(K113))+(L113)</f>
        <v>0.0</v>
      </c>
    </row>
    <row r="114">
      <c r="A114" t="s" s="3">
        <v>120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t="s" s="3">
        <v>121</v>
      </c>
      <c r="B115" t="n" s="5">
        <f>8.62</f>
        <v>0.0</v>
      </c>
      <c r="C115" t="n" s="5">
        <f>3.06</f>
        <v>0.0</v>
      </c>
      <c r="D115" t="n" s="5">
        <f>33.71</f>
        <v>0.0</v>
      </c>
      <c r="E115" t="n" s="5">
        <f>69.63</f>
        <v>0.0</v>
      </c>
      <c r="F115" t="n" s="5">
        <f>29.35</f>
        <v>0.0</v>
      </c>
      <c r="G115" t="n" s="5">
        <f>51.86</f>
        <v>0.0</v>
      </c>
      <c r="H115" t="n" s="5">
        <f>2.63</f>
        <v>0.0</v>
      </c>
      <c r="I115" t="n" s="5">
        <f>13.00</f>
        <v>0.0</v>
      </c>
      <c r="J115" t="n" s="5">
        <f>13.00</f>
        <v>0.0</v>
      </c>
      <c r="K115" s="4"/>
      <c r="L115" s="4"/>
      <c r="M115" t="n" s="5">
        <f>((((((((((B115)+(C115))+(D115))+(E115))+(F115))+(G115))+(H115))+(I115))+(J115))+(K115))+(L115)</f>
        <v>0.0</v>
      </c>
    </row>
    <row r="116">
      <c r="A116" t="s" s="3">
        <v>122</v>
      </c>
      <c r="B116" t="n" s="5">
        <f>40.00</f>
        <v>0.0</v>
      </c>
      <c r="C116" t="n" s="5">
        <f>60.00</f>
        <v>0.0</v>
      </c>
      <c r="D116" t="n" s="5">
        <f>325.00</f>
        <v>0.0</v>
      </c>
      <c r="E116" t="n" s="5">
        <f>176.00</f>
        <v>0.0</v>
      </c>
      <c r="F116" t="n" s="5">
        <f>100.00</f>
        <v>0.0</v>
      </c>
      <c r="G116" t="n" s="5">
        <f>187.00</f>
        <v>0.0</v>
      </c>
      <c r="H116" t="n" s="5">
        <f>20.00</f>
        <v>0.0</v>
      </c>
      <c r="I116" t="n" s="5">
        <f>20.00</f>
        <v>0.0</v>
      </c>
      <c r="J116" s="4"/>
      <c r="K116" s="4"/>
      <c r="L116" s="4"/>
      <c r="M116" t="n" s="5">
        <f>((((((((((B116)+(C116))+(D116))+(E116))+(F116))+(G116))+(H116))+(I116))+(J116))+(K116))+(L116)</f>
        <v>0.0</v>
      </c>
    </row>
    <row r="117">
      <c r="A117" t="s" s="3">
        <v>123</v>
      </c>
      <c r="B117" t="n" s="6">
        <f>(B115)+(B116)</f>
        <v>0.0</v>
      </c>
      <c r="C117" t="n" s="6">
        <f>(C115)+(C116)</f>
        <v>0.0</v>
      </c>
      <c r="D117" t="n" s="6">
        <f>(D115)+(D116)</f>
        <v>0.0</v>
      </c>
      <c r="E117" t="n" s="6">
        <f>(E115)+(E116)</f>
        <v>0.0</v>
      </c>
      <c r="F117" t="n" s="6">
        <f>(F115)+(F116)</f>
        <v>0.0</v>
      </c>
      <c r="G117" t="n" s="6">
        <f>(G115)+(G116)</f>
        <v>0.0</v>
      </c>
      <c r="H117" t="n" s="6">
        <f>(H115)+(H116)</f>
        <v>0.0</v>
      </c>
      <c r="I117" t="n" s="6">
        <f>(I115)+(I116)</f>
        <v>0.0</v>
      </c>
      <c r="J117" t="n" s="6">
        <f>(J115)+(J116)</f>
        <v>0.0</v>
      </c>
      <c r="K117" t="n" s="6">
        <f>(K115)+(K116)</f>
        <v>0.0</v>
      </c>
      <c r="L117" t="n" s="6">
        <f>(L115)+(L116)</f>
        <v>0.0</v>
      </c>
      <c r="M117" t="n" s="6">
        <f>((((((((((B117)+(C117))+(D117))+(E117))+(F117))+(G117))+(H117))+(I117))+(J117))+(K117))+(L117)</f>
        <v>0.0</v>
      </c>
    </row>
    <row r="118">
      <c r="A118" t="s" s="3">
        <v>124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t="s" s="3">
        <v>125</v>
      </c>
      <c r="B119" t="n" s="5">
        <f>-233.62</f>
        <v>0.0</v>
      </c>
      <c r="C119" t="n" s="5">
        <f>-777.04</f>
        <v>0.0</v>
      </c>
      <c r="D119" t="n" s="5">
        <f>-0.14</f>
        <v>0.0</v>
      </c>
      <c r="E119" s="4"/>
      <c r="F119" t="n" s="5">
        <f>-2554.35</f>
        <v>0.0</v>
      </c>
      <c r="G119" s="4"/>
      <c r="H119" t="n" s="5">
        <f>24.16</f>
        <v>0.0</v>
      </c>
      <c r="I119" t="n" s="5">
        <f>-59.00</f>
        <v>0.0</v>
      </c>
      <c r="J119" s="4"/>
      <c r="K119" s="4"/>
      <c r="L119" s="4"/>
      <c r="M119" t="n" s="5">
        <f>((((((((((B119)+(C119))+(D119))+(E119))+(F119))+(G119))+(H119))+(I119))+(J119))+(K119))+(L119)</f>
        <v>0.0</v>
      </c>
    </row>
    <row r="120">
      <c r="A120" t="s" s="3">
        <v>126</v>
      </c>
      <c r="B120" t="n" s="6">
        <f>B119</f>
        <v>0.0</v>
      </c>
      <c r="C120" t="n" s="6">
        <f>C119</f>
        <v>0.0</v>
      </c>
      <c r="D120" t="n" s="6">
        <f>D119</f>
        <v>0.0</v>
      </c>
      <c r="E120" t="n" s="6">
        <f>E119</f>
        <v>0.0</v>
      </c>
      <c r="F120" t="n" s="6">
        <f>F119</f>
        <v>0.0</v>
      </c>
      <c r="G120" t="n" s="6">
        <f>G119</f>
        <v>0.0</v>
      </c>
      <c r="H120" t="n" s="6">
        <f>H119</f>
        <v>0.0</v>
      </c>
      <c r="I120" t="n" s="6">
        <f>I119</f>
        <v>0.0</v>
      </c>
      <c r="J120" t="n" s="6">
        <f>J119</f>
        <v>0.0</v>
      </c>
      <c r="K120" t="n" s="6">
        <f>K119</f>
        <v>0.0</v>
      </c>
      <c r="L120" t="n" s="6">
        <f>L119</f>
        <v>0.0</v>
      </c>
      <c r="M120" t="n" s="6">
        <f>((((((((((B120)+(C120))+(D120))+(E120))+(F120))+(G120))+(H120))+(I120))+(J120))+(K120))+(L120)</f>
        <v>0.0</v>
      </c>
    </row>
    <row r="121">
      <c r="A121" t="s" s="3">
        <v>127</v>
      </c>
      <c r="B121" t="n" s="6">
        <f>(B117)-(B120)</f>
        <v>0.0</v>
      </c>
      <c r="C121" t="n" s="6">
        <f>(C117)-(C120)</f>
        <v>0.0</v>
      </c>
      <c r="D121" t="n" s="6">
        <f>(D117)-(D120)</f>
        <v>0.0</v>
      </c>
      <c r="E121" t="n" s="6">
        <f>(E117)-(E120)</f>
        <v>0.0</v>
      </c>
      <c r="F121" t="n" s="6">
        <f>(F117)-(F120)</f>
        <v>0.0</v>
      </c>
      <c r="G121" t="n" s="6">
        <f>(G117)-(G120)</f>
        <v>0.0</v>
      </c>
      <c r="H121" t="n" s="6">
        <f>(H117)-(H120)</f>
        <v>0.0</v>
      </c>
      <c r="I121" t="n" s="6">
        <f>(I117)-(I120)</f>
        <v>0.0</v>
      </c>
      <c r="J121" t="n" s="6">
        <f>(J117)-(J120)</f>
        <v>0.0</v>
      </c>
      <c r="K121" t="n" s="6">
        <f>(K117)-(K120)</f>
        <v>0.0</v>
      </c>
      <c r="L121" t="n" s="6">
        <f>(L117)-(L120)</f>
        <v>0.0</v>
      </c>
      <c r="M121" t="n" s="6">
        <f>((((((((((B121)+(C121))+(D121))+(E121))+(F121))+(G121))+(H121))+(I121))+(J121))+(K121))+(L121)</f>
        <v>0.0</v>
      </c>
    </row>
    <row r="122">
      <c r="A122" t="s" s="3">
        <v>128</v>
      </c>
      <c r="B122" t="n" s="7">
        <f>(B113)+(B121)</f>
        <v>0.0</v>
      </c>
      <c r="C122" t="n" s="7">
        <f>(C113)+(C121)</f>
        <v>0.0</v>
      </c>
      <c r="D122" t="n" s="7">
        <f>(D113)+(D121)</f>
        <v>0.0</v>
      </c>
      <c r="E122" t="n" s="7">
        <f>(E113)+(E121)</f>
        <v>0.0</v>
      </c>
      <c r="F122" t="n" s="7">
        <f>(F113)+(F121)</f>
        <v>0.0</v>
      </c>
      <c r="G122" t="n" s="7">
        <f>(G113)+(G121)</f>
        <v>0.0</v>
      </c>
      <c r="H122" t="n" s="7">
        <f>(H113)+(H121)</f>
        <v>0.0</v>
      </c>
      <c r="I122" t="n" s="7">
        <f>(I113)+(I121)</f>
        <v>0.0</v>
      </c>
      <c r="J122" t="n" s="7">
        <f>(J113)+(J121)</f>
        <v>0.0</v>
      </c>
      <c r="K122" t="n" s="7">
        <f>(K113)+(K121)</f>
        <v>0.0</v>
      </c>
      <c r="L122" t="n" s="7">
        <f>(L113)+(L121)</f>
        <v>0.0</v>
      </c>
      <c r="M122" t="n" s="7">
        <f>((((((((((B122)+(C122))+(D122))+(E122))+(F122))+(G122))+(H122))+(I122))+(J122))+(K122))+(L122)</f>
        <v>0.0</v>
      </c>
    </row>
    <row r="123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6">
      <c r="A126" s="8" t="s">
        <v>129</v>
      </c>
      <c r="B126"/>
      <c r="C126"/>
      <c r="D126"/>
      <c r="E126"/>
      <c r="F126"/>
      <c r="G126"/>
      <c r="H126"/>
      <c r="I126"/>
      <c r="J126"/>
      <c r="K126"/>
      <c r="L126"/>
      <c r="M126"/>
    </row>
  </sheetData>
  <mergeCells count="4">
    <mergeCell ref="A126:M126"/>
    <mergeCell ref="A1:M1"/>
    <mergeCell ref="A2:M2"/>
    <mergeCell ref="A3:M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2023-12-05T06:54:36Z</dcterms:created>
  <dc:creator>Apache POI</dc:creator>
</cp:coreProperties>
</file>