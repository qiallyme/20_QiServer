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5159ac14121603/Documents/"/>
    </mc:Choice>
  </mc:AlternateContent>
  <xr:revisionPtr revIDLastSave="0" documentId="8_{661E9DC6-9A60-447D-9499-4D45DA31F4E4}" xr6:coauthVersionLast="47" xr6:coauthVersionMax="47" xr10:uidLastSave="{00000000-0000-0000-0000-000000000000}"/>
  <bookViews>
    <workbookView xWindow="31965" yWindow="2550" windowWidth="21600" windowHeight="11385" xr2:uid="{0F0FC4C5-3804-497A-8AE2-D69E7BC5B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F41" i="1"/>
  <c r="F80" i="1"/>
  <c r="G82" i="1"/>
  <c r="F62" i="1"/>
  <c r="F71" i="1"/>
  <c r="F51" i="1"/>
  <c r="F75" i="1"/>
  <c r="F78" i="1"/>
  <c r="F68" i="1"/>
  <c r="F66" i="1"/>
  <c r="F58" i="1"/>
  <c r="F79" i="1"/>
  <c r="F5" i="1"/>
  <c r="F15" i="1"/>
  <c r="F7" i="1"/>
  <c r="F18" i="1"/>
  <c r="F30" i="1"/>
  <c r="F28" i="1"/>
  <c r="F14" i="1"/>
  <c r="F2" i="1"/>
  <c r="F8" i="1"/>
  <c r="F21" i="1"/>
  <c r="F31" i="1"/>
  <c r="F24" i="1"/>
  <c r="F33" i="1"/>
  <c r="F11" i="1"/>
  <c r="F26" i="1"/>
  <c r="F16" i="1"/>
  <c r="F27" i="1"/>
  <c r="F17" i="1"/>
  <c r="F6" i="1"/>
  <c r="F13" i="1"/>
  <c r="F32" i="1"/>
  <c r="F25" i="1"/>
  <c r="F19" i="1"/>
  <c r="F29" i="1"/>
  <c r="F36" i="1"/>
  <c r="F3" i="1"/>
  <c r="F10" i="1"/>
  <c r="F12" i="1"/>
  <c r="F38" i="1"/>
  <c r="F23" i="1"/>
  <c r="F35" i="1"/>
  <c r="F37" i="1"/>
  <c r="F43" i="1"/>
  <c r="F40" i="1"/>
  <c r="F39" i="1"/>
  <c r="F4" i="1"/>
  <c r="F22" i="1"/>
  <c r="F34" i="1"/>
  <c r="F9" i="1"/>
  <c r="F20" i="1"/>
  <c r="F45" i="1"/>
  <c r="F47" i="1"/>
  <c r="F44" i="1"/>
  <c r="F48" i="1"/>
  <c r="F46" i="1"/>
  <c r="F49" i="1"/>
  <c r="F52" i="1"/>
  <c r="F60" i="1"/>
  <c r="F55" i="1"/>
  <c r="F69" i="1"/>
  <c r="F64" i="1"/>
  <c r="F53" i="1"/>
  <c r="F72" i="1"/>
  <c r="F73" i="1"/>
  <c r="F54" i="1"/>
  <c r="F74" i="1"/>
  <c r="F61" i="1"/>
  <c r="F81" i="1"/>
  <c r="F76" i="1"/>
  <c r="F70" i="1"/>
  <c r="F63" i="1"/>
  <c r="F57" i="1"/>
  <c r="F59" i="1"/>
  <c r="F67" i="1"/>
  <c r="F65" i="1"/>
  <c r="F77" i="1"/>
  <c r="F50" i="1"/>
  <c r="F56" i="1"/>
  <c r="F82" i="1" l="1"/>
</calcChain>
</file>

<file path=xl/sharedStrings.xml><?xml version="1.0" encoding="utf-8"?>
<sst xmlns="http://schemas.openxmlformats.org/spreadsheetml/2006/main" count="427" uniqueCount="116">
  <si>
    <t>STATUS</t>
  </si>
  <si>
    <t>CODY</t>
  </si>
  <si>
    <t>HELD AT STE 910</t>
  </si>
  <si>
    <t>STOLEN PROPERTY FROM SRVGROUP</t>
  </si>
  <si>
    <t>IISITAX</t>
  </si>
  <si>
    <t>FIXED ASSET</t>
  </si>
  <si>
    <t>PERSONAL ASSET</t>
  </si>
  <si>
    <t>SUPPLIES ASSET</t>
  </si>
  <si>
    <t>150-Pack Passport Photo Organizer Folder</t>
  </si>
  <si>
    <t>Full Motion TV Wall Mount Bracket</t>
  </si>
  <si>
    <t>HP ELITEDESK 800G3 HIGH PERF</t>
  </si>
  <si>
    <t>Clear Front Report Covers with 3 Prongs</t>
  </si>
  <si>
    <t>Thermal Laminating Pouches</t>
  </si>
  <si>
    <t>Premium Grade AAA Batteries - 24 Pack</t>
  </si>
  <si>
    <t>Heavy-Duty Framed View 3-Ring Binder</t>
  </si>
  <si>
    <t>Passport Die Cutter Punch</t>
  </si>
  <si>
    <t>Tab Dividers for 3 Ring Binders</t>
  </si>
  <si>
    <t>Canon KP-108IN 3 Color Ink Cassette and 108 Sheets</t>
  </si>
  <si>
    <t>Cable Management Kit</t>
  </si>
  <si>
    <t>LG Computer Monitor</t>
  </si>
  <si>
    <t>4K USB C to USB C Monitor Cable</t>
  </si>
  <si>
    <t>Cat 6 POE Cables</t>
  </si>
  <si>
    <t>6 Reams of Paper</t>
  </si>
  <si>
    <t>Legal Documents</t>
  </si>
  <si>
    <t>Business Card Holders x 2</t>
  </si>
  <si>
    <t>Large Commercial Microwave</t>
  </si>
  <si>
    <t>Ergonomic Racing XL Gamer Chair</t>
  </si>
  <si>
    <t>Display Port Adaptor Cable</t>
  </si>
  <si>
    <t>Company Documents</t>
  </si>
  <si>
    <t>Standard Ethernet Cable 100 Ft</t>
  </si>
  <si>
    <t>Standard Ethernet Cable 10 Ft</t>
  </si>
  <si>
    <t>Table Fan Black</t>
  </si>
  <si>
    <t>Faux Orchid</t>
  </si>
  <si>
    <t>Flat Top Scanner</t>
  </si>
  <si>
    <t>Document Frames</t>
  </si>
  <si>
    <t>Heavy Duty Glass Side Table</t>
  </si>
  <si>
    <t>HDMI 4k Cable x 2</t>
  </si>
  <si>
    <t>USB HD Headset</t>
  </si>
  <si>
    <t>Small Hole Puncher</t>
  </si>
  <si>
    <t>Canon Sephy Photo Printer for Passports</t>
  </si>
  <si>
    <t>Indianapolis Custom Photo with Frame</t>
  </si>
  <si>
    <t>Keyboard Standard</t>
  </si>
  <si>
    <t>Konica Minolta Bizhub 223</t>
  </si>
  <si>
    <t>Thermal Labels</t>
  </si>
  <si>
    <t>Laminator White</t>
  </si>
  <si>
    <t>Thermal 4*6 Shipping Label Printer</t>
  </si>
  <si>
    <t>Postage Meter</t>
  </si>
  <si>
    <t>Lanier Color Printer Business</t>
  </si>
  <si>
    <t>Brown Leather Computer Chair</t>
  </si>
  <si>
    <t>License Plate "576ndd"</t>
  </si>
  <si>
    <t>Long Heavy Duty Extention White</t>
  </si>
  <si>
    <t>Monitor Arm</t>
  </si>
  <si>
    <t>Wireless Mouse</t>
  </si>
  <si>
    <t>Plastic Zip Pouches</t>
  </si>
  <si>
    <t>Surge Protector Black Large</t>
  </si>
  <si>
    <t>Desk Organizer</t>
  </si>
  <si>
    <t>Device Cables</t>
  </si>
  <si>
    <t>ScanSnap iX1600 Wireless or USB High-Speed Cloud Enabled Document, Photo &amp; Receipt Scanner</t>
  </si>
  <si>
    <t>32-Inch Smark TV with Alexa</t>
  </si>
  <si>
    <t>8K Display Adaptor</t>
  </si>
  <si>
    <t>Laminator Black</t>
  </si>
  <si>
    <t>Resale Value
Online Price $2,331.12
Missing Piece -50%
Resale Ded -50%
Demand -50% (291.39)</t>
  </si>
  <si>
    <t>Hercules Alon Series LeatherSoft Reception Configuration 4 piece (Missing 1 piece)</t>
  </si>
  <si>
    <t>Shipping Supplies</t>
  </si>
  <si>
    <t>Shopping Basket Black x 2</t>
  </si>
  <si>
    <t>Side Table Small Wood and Steel</t>
  </si>
  <si>
    <t>Printer Cabinet with Storage</t>
  </si>
  <si>
    <t>Small Sectional Sofa Leather White Free</t>
  </si>
  <si>
    <t>Resale value 
Online Price $189
Broken Leg -70%
Resale Ded -50%
Demand -50%
($38)</t>
  </si>
  <si>
    <t>Comb Binding Machine 21-Hole</t>
  </si>
  <si>
    <t>Comb Binders</t>
  </si>
  <si>
    <t>Square Card Reader With Doc</t>
  </si>
  <si>
    <t>Stapler</t>
  </si>
  <si>
    <t>Custom Stamp</t>
  </si>
  <si>
    <t>TP Link Switch 5 Port</t>
  </si>
  <si>
    <t>WiFi 6 AX Router</t>
  </si>
  <si>
    <t>Table Cloth</t>
  </si>
  <si>
    <t>Tape</t>
  </si>
  <si>
    <t>Trash Bags</t>
  </si>
  <si>
    <t>Vanity Desk</t>
  </si>
  <si>
    <t>Web Cam 4K Stereo</t>
  </si>
  <si>
    <t>White Extension Cord</t>
  </si>
  <si>
    <t>Wifi Extender</t>
  </si>
  <si>
    <t>Wired Mouse</t>
  </si>
  <si>
    <t>Phone Wireless charger</t>
  </si>
  <si>
    <t>CRISTAL EQUITY INVESTMENT REIMBURSED</t>
  </si>
  <si>
    <t>CODY EQUITY INVESTMENT NOT REIMBURSED</t>
  </si>
  <si>
    <t>STOLEN PROPERTY FROM SRVGROUP
CODY EQUITY INVESTMENT NOT REIMBURSED</t>
  </si>
  <si>
    <t>Total</t>
  </si>
  <si>
    <t>Ergonomic Wrist Band for Keyboard</t>
  </si>
  <si>
    <t>Portable Fan</t>
  </si>
  <si>
    <t>Fast Charger USB C 100W, 5 Ports Charging Blocks Ultra Thin Flat Plug</t>
  </si>
  <si>
    <t>Innova Flow Separate Work Complete Not Paid For</t>
  </si>
  <si>
    <t>Trouble Shoot Brother Printer - Now Working Needs Ink.</t>
  </si>
  <si>
    <t>Setup Internal and Guest Wifi for iisiTax</t>
  </si>
  <si>
    <t>Organized and Cleaned Office 4 Times</t>
  </si>
  <si>
    <t>Installed Wall Mount and Television</t>
  </si>
  <si>
    <t>Troubleshoot and Provided Recover Plan Options on Harddrive data recovery</t>
  </si>
  <si>
    <t>Trouble Shoot USCIS Site Upload and Provided Workflow and tools</t>
  </si>
  <si>
    <t>Provided Workflow and Instructions for Privatizing Conference Room</t>
  </si>
  <si>
    <t>Iisi Tax Work Completed for Other Not Paid For</t>
  </si>
  <si>
    <t>2023-2024 Bookkeeping</t>
  </si>
  <si>
    <t>1099 Bookkeeping and Filing</t>
  </si>
  <si>
    <t>Zoho Books Setup/Quickbooks Set Up</t>
  </si>
  <si>
    <t>Manual Extractions of Expenses</t>
  </si>
  <si>
    <t>Data Cleaning of Transaction</t>
  </si>
  <si>
    <t>Manual Expense Extraction from Screenshots</t>
  </si>
  <si>
    <t>Tax Strategy Creation and Liability Reductions</t>
  </si>
  <si>
    <t>Headshot Photo Taking then 1 hour Photo Editing</t>
  </si>
  <si>
    <t>More</t>
  </si>
  <si>
    <t>ASSET NAME</t>
  </si>
  <si>
    <t>NOTES</t>
  </si>
  <si>
    <t>ORIGIN</t>
  </si>
  <si>
    <t>REPLACEMENT COST</t>
  </si>
  <si>
    <t>TOTAT WITH TAX</t>
  </si>
  <si>
    <t>ASSET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</si>
</sst>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44" fontId="0" fillId="0" borderId="0" xfId="1" applyFont="1" applyAlignment="1">
      <alignment wrapText="1"/>
    </xf>
    <xf numFmtId="44" fontId="0" fillId="0" borderId="0" xfId="1" applyFont="1"/>
    <xf numFmtId="166" fontId="0" fillId="0" borderId="0" xfId="1" applyNumberFormat="1" applyFont="1" applyAlignment="1">
      <alignment wrapText="1"/>
    </xf>
    <xf numFmtId="0" fontId="0" fillId="0" borderId="0" xfId="0" applyAlignment="1"/>
    <xf numFmtId="0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0" fontId="2" fillId="0" borderId="0" xfId="0" applyFont="1"/>
    <xf numFmtId="0" fontId="4" fillId="0" borderId="0" xfId="0" applyFont="1"/>
  </cellXfs>
  <cellStyles count="2">
    <cellStyle name="Currency" xfId="1" builtinId="4"/>
    <cellStyle name="Normal" xfId="0" builtinId="0"/>
  </cellStyles>
  <dxfs count="6">
    <dxf>
      <numFmt numFmtId="166" formatCode="_(&quot;$&quot;* #,##0_);_(&quot;$&quot;* \(#,##0\);_(&quot;$&quot;* &quot;-&quot;??_);_(@_)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6" formatCode="_(&quot;$&quot;* #,##0_);_(&quot;$&quot;* \(#,##0\);_(&quot;$&quot;* &quot;-&quot;??_);_(@_)"/>
      <alignment horizontal="general" vertical="bottom" textRotation="0" wrapText="1" indent="0" justifyLastLine="0" shrinkToFit="0" readingOrder="0"/>
    </dxf>
    <dxf>
      <numFmt numFmtId="166" formatCode="_(&quot;$&quot;* #,##0_);_(&quot;$&quot;* \(#,##0\);_(&quot;$&quot;* &quot;-&quot;??_);_(@_)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74</xdr:row>
      <xdr:rowOff>0</xdr:rowOff>
    </xdr:from>
    <xdr:to>
      <xdr:col>14</xdr:col>
      <xdr:colOff>304800</xdr:colOff>
      <xdr:row>75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9B2D31C6-46E1-66D9-4DDA-6434ACB9C23E}"/>
            </a:ext>
          </a:extLst>
        </xdr:cNvPr>
        <xdr:cNvSpPr>
          <a:spLocks noChangeAspect="1" noChangeArrowheads="1"/>
        </xdr:cNvSpPr>
      </xdr:nvSpPr>
      <xdr:spPr bwMode="auto">
        <a:xfrm>
          <a:off x="167259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0A477B-01E5-425D-91BD-F56562615CD0}" name="Table1" displayName="Table1" ref="A1:G82" totalsRowCount="1">
  <autoFilter ref="A1:G81" xr:uid="{410A477B-01E5-425D-91BD-F56562615CD0}"/>
  <sortState xmlns:xlrd2="http://schemas.microsoft.com/office/spreadsheetml/2017/richdata2" ref="A2:G81">
    <sortCondition ref="G1:G81"/>
  </sortState>
  <tableColumns count="7">
    <tableColumn id="1" xr3:uid="{B594D926-4DF1-4974-87B4-D0B46CCD5813}" name="ASSET NAME" totalsRowLabel="Total"/>
    <tableColumn id="2" xr3:uid="{7C63FBE4-982D-4054-96E4-9B8A8753EE4F}" name="ORIGIN"/>
    <tableColumn id="3" xr3:uid="{89C70707-F7F0-440B-8BB7-68AB78C355D2}" name="STATUS"/>
    <tableColumn id="4" xr3:uid="{2EBF97E2-925F-40C1-A72B-34BCA4DF470A}" name="NOTES" dataDxfId="3" totalsRowDxfId="2"/>
    <tableColumn id="6" xr3:uid="{03B8724F-B0B4-4260-B4A1-3C2DF48E452B}" name="REPLACEMENT COST" dataDxfId="4" totalsRowDxfId="1" dataCellStyle="Currency"/>
    <tableColumn id="7" xr3:uid="{03E973F0-81E0-4E1B-A3A5-6CB7861F3B50}" name="TOTAT WITH TAX" totalsRowFunction="sum" dataDxfId="5" totalsRowDxfId="0" dataCellStyle="Currency">
      <calculatedColumnFormula>Table1[[#This Row],[REPLACEMENT COST]]*1.07</calculatedColumnFormula>
    </tableColumn>
    <tableColumn id="5" xr3:uid="{DB278EB8-B295-4F57-B732-774F3EE74826}" name="ASSET TYPE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ADC0-2A45-4926-8807-33844CD03497}">
  <dimension ref="A1:O101"/>
  <sheetViews>
    <sheetView tabSelected="1" topLeftCell="A83" workbookViewId="0">
      <selection activeCell="A84" sqref="A84:A101"/>
    </sheetView>
  </sheetViews>
  <sheetFormatPr defaultRowHeight="15" x14ac:dyDescent="0.25"/>
  <cols>
    <col min="1" max="1" width="68.42578125" customWidth="1"/>
    <col min="2" max="2" width="13.42578125" customWidth="1"/>
    <col min="3" max="3" width="15" bestFit="1" customWidth="1"/>
    <col min="4" max="4" width="47.7109375" style="5" customWidth="1"/>
    <col min="5" max="5" width="13.85546875" style="2" customWidth="1"/>
    <col min="6" max="6" width="12.5703125" style="3" customWidth="1"/>
    <col min="7" max="7" width="15.85546875" bestFit="1" customWidth="1"/>
  </cols>
  <sheetData>
    <row r="1" spans="1:7" ht="45" x14ac:dyDescent="0.25">
      <c r="A1" t="s">
        <v>110</v>
      </c>
      <c r="B1" t="s">
        <v>112</v>
      </c>
      <c r="C1" t="s">
        <v>0</v>
      </c>
      <c r="D1" s="5" t="s">
        <v>111</v>
      </c>
      <c r="E1" s="2" t="s">
        <v>113</v>
      </c>
      <c r="F1" s="2" t="s">
        <v>114</v>
      </c>
      <c r="G1" t="s">
        <v>115</v>
      </c>
    </row>
    <row r="2" spans="1:7" x14ac:dyDescent="0.25">
      <c r="A2" t="s">
        <v>58</v>
      </c>
      <c r="B2" t="s">
        <v>4</v>
      </c>
      <c r="C2" t="s">
        <v>2</v>
      </c>
      <c r="D2" s="5" t="s">
        <v>86</v>
      </c>
      <c r="E2" s="4">
        <v>119</v>
      </c>
      <c r="F2" s="4">
        <f>Table1[[#This Row],[REPLACEMENT COST]]*1.07</f>
        <v>127.33000000000001</v>
      </c>
      <c r="G2" t="s">
        <v>5</v>
      </c>
    </row>
    <row r="3" spans="1:7" x14ac:dyDescent="0.25">
      <c r="A3" t="s">
        <v>48</v>
      </c>
      <c r="B3" t="s">
        <v>1</v>
      </c>
      <c r="C3" t="s">
        <v>2</v>
      </c>
      <c r="D3" s="5" t="s">
        <v>86</v>
      </c>
      <c r="E3" s="4">
        <v>70</v>
      </c>
      <c r="F3" s="4">
        <f>Table1[[#This Row],[REPLACEMENT COST]]*1.07</f>
        <v>74.900000000000006</v>
      </c>
      <c r="G3" t="s">
        <v>5</v>
      </c>
    </row>
    <row r="4" spans="1:7" x14ac:dyDescent="0.25">
      <c r="A4" t="s">
        <v>39</v>
      </c>
      <c r="B4" t="s">
        <v>1</v>
      </c>
      <c r="C4" t="s">
        <v>2</v>
      </c>
      <c r="D4" s="5" t="s">
        <v>86</v>
      </c>
      <c r="E4" s="4">
        <v>179</v>
      </c>
      <c r="F4" s="4">
        <f>Table1[[#This Row],[REPLACEMENT COST]]*1.07</f>
        <v>191.53</v>
      </c>
      <c r="G4" t="s">
        <v>5</v>
      </c>
    </row>
    <row r="5" spans="1:7" x14ac:dyDescent="0.25">
      <c r="A5" t="s">
        <v>69</v>
      </c>
      <c r="B5" t="s">
        <v>1</v>
      </c>
      <c r="C5" t="s">
        <v>2</v>
      </c>
      <c r="D5" s="5" t="s">
        <v>86</v>
      </c>
      <c r="E5" s="4">
        <v>59.99</v>
      </c>
      <c r="F5" s="4">
        <f>Table1[[#This Row],[REPLACEMENT COST]]*1.07</f>
        <v>64.189300000000003</v>
      </c>
      <c r="G5" t="s">
        <v>5</v>
      </c>
    </row>
    <row r="6" spans="1:7" x14ac:dyDescent="0.25">
      <c r="A6" t="s">
        <v>26</v>
      </c>
      <c r="B6" t="s">
        <v>1</v>
      </c>
      <c r="C6" t="s">
        <v>2</v>
      </c>
      <c r="D6" s="5" t="s">
        <v>86</v>
      </c>
      <c r="E6" s="4">
        <v>449</v>
      </c>
      <c r="F6" s="4">
        <f>Table1[[#This Row],[REPLACEMENT COST]]*1.07</f>
        <v>480.43</v>
      </c>
      <c r="G6" t="s">
        <v>5</v>
      </c>
    </row>
    <row r="7" spans="1:7" x14ac:dyDescent="0.25">
      <c r="A7" t="s">
        <v>33</v>
      </c>
      <c r="B7" t="s">
        <v>1</v>
      </c>
      <c r="C7" t="s">
        <v>2</v>
      </c>
      <c r="D7" s="5" t="s">
        <v>86</v>
      </c>
      <c r="E7" s="4">
        <v>70</v>
      </c>
      <c r="F7" s="4">
        <f>Table1[[#This Row],[REPLACEMENT COST]]*1.07</f>
        <v>74.900000000000006</v>
      </c>
      <c r="G7" t="s">
        <v>5</v>
      </c>
    </row>
    <row r="8" spans="1:7" x14ac:dyDescent="0.25">
      <c r="A8" t="s">
        <v>9</v>
      </c>
      <c r="B8" t="s">
        <v>4</v>
      </c>
      <c r="C8" t="s">
        <v>2</v>
      </c>
      <c r="D8" s="5" t="s">
        <v>86</v>
      </c>
      <c r="E8" s="4">
        <v>16</v>
      </c>
      <c r="F8" s="4">
        <f>Table1[[#This Row],[REPLACEMENT COST]]*1.07</f>
        <v>17.12</v>
      </c>
      <c r="G8" t="s">
        <v>5</v>
      </c>
    </row>
    <row r="9" spans="1:7" x14ac:dyDescent="0.25">
      <c r="A9" t="s">
        <v>35</v>
      </c>
      <c r="B9" t="s">
        <v>1</v>
      </c>
      <c r="C9" t="s">
        <v>2</v>
      </c>
      <c r="D9" s="5" t="s">
        <v>86</v>
      </c>
      <c r="E9" s="4">
        <v>189</v>
      </c>
      <c r="F9" s="4">
        <f>Table1[[#This Row],[REPLACEMENT COST]]*1.07</f>
        <v>202.23000000000002</v>
      </c>
      <c r="G9" t="s">
        <v>5</v>
      </c>
    </row>
    <row r="10" spans="1:7" x14ac:dyDescent="0.25">
      <c r="A10" t="s">
        <v>62</v>
      </c>
      <c r="B10" t="s">
        <v>4</v>
      </c>
      <c r="C10" t="s">
        <v>2</v>
      </c>
      <c r="D10" s="1" t="s">
        <v>61</v>
      </c>
      <c r="E10" s="4">
        <v>291</v>
      </c>
      <c r="F10" s="4">
        <f>Table1[[#This Row],[REPLACEMENT COST]]*1.07</f>
        <v>311.37</v>
      </c>
      <c r="G10" t="s">
        <v>5</v>
      </c>
    </row>
    <row r="11" spans="1:7" x14ac:dyDescent="0.25">
      <c r="A11" t="s">
        <v>10</v>
      </c>
      <c r="B11" t="s">
        <v>1</v>
      </c>
      <c r="C11" t="s">
        <v>2</v>
      </c>
      <c r="D11" s="5" t="s">
        <v>86</v>
      </c>
      <c r="E11" s="4">
        <v>199</v>
      </c>
      <c r="F11" s="4">
        <f>Table1[[#This Row],[REPLACEMENT COST]]*1.07</f>
        <v>212.93</v>
      </c>
      <c r="G11" t="s">
        <v>5</v>
      </c>
    </row>
    <row r="12" spans="1:7" x14ac:dyDescent="0.25">
      <c r="A12" t="s">
        <v>40</v>
      </c>
      <c r="B12" t="s">
        <v>1</v>
      </c>
      <c r="C12" t="s">
        <v>2</v>
      </c>
      <c r="D12" s="5" t="s">
        <v>86</v>
      </c>
      <c r="E12" s="4">
        <v>40</v>
      </c>
      <c r="F12" s="4">
        <f>Table1[[#This Row],[REPLACEMENT COST]]*1.07</f>
        <v>42.800000000000004</v>
      </c>
      <c r="G12" t="s">
        <v>5</v>
      </c>
    </row>
    <row r="13" spans="1:7" x14ac:dyDescent="0.25">
      <c r="A13" t="s">
        <v>41</v>
      </c>
      <c r="B13" t="s">
        <v>1</v>
      </c>
      <c r="C13" t="s">
        <v>2</v>
      </c>
      <c r="D13" s="5" t="s">
        <v>86</v>
      </c>
      <c r="E13" s="4">
        <v>12</v>
      </c>
      <c r="F13" s="4">
        <f>Table1[[#This Row],[REPLACEMENT COST]]*1.07</f>
        <v>12.84</v>
      </c>
      <c r="G13" t="s">
        <v>5</v>
      </c>
    </row>
    <row r="14" spans="1:7" x14ac:dyDescent="0.25">
      <c r="A14" t="s">
        <v>42</v>
      </c>
      <c r="B14" t="s">
        <v>1</v>
      </c>
      <c r="C14" t="s">
        <v>2</v>
      </c>
      <c r="D14" s="5" t="s">
        <v>86</v>
      </c>
      <c r="E14" s="4">
        <v>1500</v>
      </c>
      <c r="F14" s="4">
        <f>Table1[[#This Row],[REPLACEMENT COST]]*1.07</f>
        <v>1605</v>
      </c>
      <c r="G14" t="s">
        <v>5</v>
      </c>
    </row>
    <row r="15" spans="1:7" x14ac:dyDescent="0.25">
      <c r="A15" t="s">
        <v>60</v>
      </c>
      <c r="B15" t="s">
        <v>1</v>
      </c>
      <c r="C15" t="s">
        <v>2</v>
      </c>
      <c r="D15" s="1" t="s">
        <v>87</v>
      </c>
      <c r="E15" s="4">
        <v>60</v>
      </c>
      <c r="F15" s="4">
        <f>Table1[[#This Row],[REPLACEMENT COST]]*1.07</f>
        <v>64.2</v>
      </c>
      <c r="G15" t="s">
        <v>5</v>
      </c>
    </row>
    <row r="16" spans="1:7" x14ac:dyDescent="0.25">
      <c r="A16" t="s">
        <v>44</v>
      </c>
      <c r="B16" t="s">
        <v>1</v>
      </c>
      <c r="C16" t="s">
        <v>2</v>
      </c>
      <c r="D16" s="5" t="s">
        <v>86</v>
      </c>
      <c r="E16" s="4">
        <v>35</v>
      </c>
      <c r="F16" s="4">
        <f>Table1[[#This Row],[REPLACEMENT COST]]*1.07</f>
        <v>37.450000000000003</v>
      </c>
      <c r="G16" t="s">
        <v>5</v>
      </c>
    </row>
    <row r="17" spans="1:7" x14ac:dyDescent="0.25">
      <c r="A17" t="s">
        <v>47</v>
      </c>
      <c r="B17" t="s">
        <v>1</v>
      </c>
      <c r="C17" t="s">
        <v>2</v>
      </c>
      <c r="D17" s="5" t="s">
        <v>86</v>
      </c>
      <c r="E17" s="4">
        <v>1650</v>
      </c>
      <c r="F17" s="4">
        <f>Table1[[#This Row],[REPLACEMENT COST]]*1.07</f>
        <v>1765.5</v>
      </c>
      <c r="G17" t="s">
        <v>5</v>
      </c>
    </row>
    <row r="18" spans="1:7" x14ac:dyDescent="0.25">
      <c r="A18" t="s">
        <v>25</v>
      </c>
      <c r="B18" t="s">
        <v>1</v>
      </c>
      <c r="C18" t="s">
        <v>2</v>
      </c>
      <c r="D18" s="5" t="s">
        <v>86</v>
      </c>
      <c r="E18" s="4">
        <v>320</v>
      </c>
      <c r="F18" s="4">
        <f>Table1[[#This Row],[REPLACEMENT COST]]*1.07</f>
        <v>342.40000000000003</v>
      </c>
      <c r="G18" t="s">
        <v>5</v>
      </c>
    </row>
    <row r="19" spans="1:7" x14ac:dyDescent="0.25">
      <c r="A19" t="s">
        <v>19</v>
      </c>
      <c r="B19" t="s">
        <v>1</v>
      </c>
      <c r="C19" t="s">
        <v>2</v>
      </c>
      <c r="D19" s="5" t="s">
        <v>86</v>
      </c>
      <c r="E19" s="4">
        <v>180</v>
      </c>
      <c r="F19" s="4">
        <f>Table1[[#This Row],[REPLACEMENT COST]]*1.07</f>
        <v>192.60000000000002</v>
      </c>
      <c r="G19" t="s">
        <v>5</v>
      </c>
    </row>
    <row r="20" spans="1:7" x14ac:dyDescent="0.25">
      <c r="A20" t="s">
        <v>50</v>
      </c>
      <c r="B20" t="s">
        <v>1</v>
      </c>
      <c r="C20" t="s">
        <v>2</v>
      </c>
      <c r="D20" s="5" t="s">
        <v>86</v>
      </c>
      <c r="E20" s="4">
        <v>15</v>
      </c>
      <c r="F20" s="4">
        <f>Table1[[#This Row],[REPLACEMENT COST]]*1.07</f>
        <v>16.05</v>
      </c>
      <c r="G20" t="s">
        <v>5</v>
      </c>
    </row>
    <row r="21" spans="1:7" x14ac:dyDescent="0.25">
      <c r="A21" t="s">
        <v>51</v>
      </c>
      <c r="B21" t="s">
        <v>1</v>
      </c>
      <c r="C21" t="s">
        <v>2</v>
      </c>
      <c r="D21" s="5" t="s">
        <v>86</v>
      </c>
      <c r="E21" s="4">
        <v>25</v>
      </c>
      <c r="F21" s="4">
        <f>Table1[[#This Row],[REPLACEMENT COST]]*1.07</f>
        <v>26.75</v>
      </c>
      <c r="G21" t="s">
        <v>5</v>
      </c>
    </row>
    <row r="22" spans="1:7" x14ac:dyDescent="0.25">
      <c r="A22" t="s">
        <v>15</v>
      </c>
      <c r="B22" t="s">
        <v>4</v>
      </c>
      <c r="C22" t="s">
        <v>2</v>
      </c>
      <c r="D22" s="5" t="s">
        <v>86</v>
      </c>
      <c r="E22" s="4">
        <v>40</v>
      </c>
      <c r="F22" s="4">
        <f>Table1[[#This Row],[REPLACEMENT COST]]*1.07</f>
        <v>42.800000000000004</v>
      </c>
      <c r="G22" t="s">
        <v>5</v>
      </c>
    </row>
    <row r="23" spans="1:7" x14ac:dyDescent="0.25">
      <c r="A23" t="s">
        <v>84</v>
      </c>
      <c r="B23" t="s">
        <v>1</v>
      </c>
      <c r="C23" t="s">
        <v>2</v>
      </c>
      <c r="D23" s="5" t="s">
        <v>86</v>
      </c>
      <c r="E23" s="4">
        <v>19</v>
      </c>
      <c r="F23" s="4">
        <f>Table1[[#This Row],[REPLACEMENT COST]]*1.07</f>
        <v>20.330000000000002</v>
      </c>
      <c r="G23" t="s">
        <v>5</v>
      </c>
    </row>
    <row r="24" spans="1:7" x14ac:dyDescent="0.25">
      <c r="A24" t="s">
        <v>46</v>
      </c>
      <c r="B24" t="s">
        <v>1</v>
      </c>
      <c r="C24" t="s">
        <v>2</v>
      </c>
      <c r="D24" s="5" t="s">
        <v>86</v>
      </c>
      <c r="E24" s="4">
        <v>20</v>
      </c>
      <c r="F24" s="4">
        <f>Table1[[#This Row],[REPLACEMENT COST]]*1.07</f>
        <v>21.400000000000002</v>
      </c>
      <c r="G24" t="s">
        <v>5</v>
      </c>
    </row>
    <row r="25" spans="1:7" x14ac:dyDescent="0.25">
      <c r="A25" t="s">
        <v>66</v>
      </c>
      <c r="B25" t="s">
        <v>1</v>
      </c>
      <c r="C25" t="s">
        <v>2</v>
      </c>
      <c r="D25" s="5" t="s">
        <v>86</v>
      </c>
      <c r="E25" s="4">
        <v>76</v>
      </c>
      <c r="F25" s="4">
        <f>Table1[[#This Row],[REPLACEMENT COST]]*1.07</f>
        <v>81.320000000000007</v>
      </c>
      <c r="G25" t="s">
        <v>5</v>
      </c>
    </row>
    <row r="26" spans="1:7" x14ac:dyDescent="0.25">
      <c r="A26" t="s">
        <v>57</v>
      </c>
      <c r="B26" t="s">
        <v>1</v>
      </c>
      <c r="C26" t="s">
        <v>2</v>
      </c>
      <c r="D26" s="5" t="s">
        <v>86</v>
      </c>
      <c r="E26" s="4">
        <v>399</v>
      </c>
      <c r="F26" s="4">
        <f>Table1[[#This Row],[REPLACEMENT COST]]*1.07</f>
        <v>426.93</v>
      </c>
      <c r="G26" t="s">
        <v>5</v>
      </c>
    </row>
    <row r="27" spans="1:7" x14ac:dyDescent="0.25">
      <c r="A27" t="s">
        <v>57</v>
      </c>
      <c r="B27" t="s">
        <v>1</v>
      </c>
      <c r="C27" t="s">
        <v>2</v>
      </c>
      <c r="D27" s="5" t="s">
        <v>3</v>
      </c>
      <c r="E27" s="4">
        <v>399</v>
      </c>
      <c r="F27" s="4">
        <f>Table1[[#This Row],[REPLACEMENT COST]]*1.07</f>
        <v>426.93</v>
      </c>
      <c r="G27" t="s">
        <v>5</v>
      </c>
    </row>
    <row r="28" spans="1:7" x14ac:dyDescent="0.25">
      <c r="A28" t="s">
        <v>64</v>
      </c>
      <c r="B28" t="s">
        <v>1</v>
      </c>
      <c r="C28" t="s">
        <v>2</v>
      </c>
      <c r="D28" s="5" t="s">
        <v>86</v>
      </c>
      <c r="E28" s="4">
        <v>74</v>
      </c>
      <c r="F28" s="4">
        <f>Table1[[#This Row],[REPLACEMENT COST]]*1.07</f>
        <v>79.180000000000007</v>
      </c>
      <c r="G28" t="s">
        <v>5</v>
      </c>
    </row>
    <row r="29" spans="1:7" x14ac:dyDescent="0.25">
      <c r="A29" t="s">
        <v>65</v>
      </c>
      <c r="B29" t="s">
        <v>1</v>
      </c>
      <c r="C29" t="s">
        <v>2</v>
      </c>
      <c r="D29" s="5" t="s">
        <v>86</v>
      </c>
      <c r="E29" s="4">
        <v>35</v>
      </c>
      <c r="F29" s="4">
        <f>Table1[[#This Row],[REPLACEMENT COST]]*1.07</f>
        <v>37.450000000000003</v>
      </c>
      <c r="G29" t="s">
        <v>5</v>
      </c>
    </row>
    <row r="30" spans="1:7" ht="75" x14ac:dyDescent="0.25">
      <c r="A30" t="s">
        <v>67</v>
      </c>
      <c r="B30" t="s">
        <v>4</v>
      </c>
      <c r="C30" t="s">
        <v>2</v>
      </c>
      <c r="D30" s="5" t="s">
        <v>68</v>
      </c>
      <c r="E30" s="4">
        <v>38</v>
      </c>
      <c r="F30" s="4">
        <f>Table1[[#This Row],[REPLACEMENT COST]]*1.07</f>
        <v>40.660000000000004</v>
      </c>
      <c r="G30" t="s">
        <v>5</v>
      </c>
    </row>
    <row r="31" spans="1:7" x14ac:dyDescent="0.25">
      <c r="A31" t="s">
        <v>71</v>
      </c>
      <c r="B31" t="s">
        <v>1</v>
      </c>
      <c r="C31" t="s">
        <v>2</v>
      </c>
      <c r="D31" s="5" t="s">
        <v>86</v>
      </c>
      <c r="E31" s="4">
        <v>99</v>
      </c>
      <c r="F31" s="4">
        <f>Table1[[#This Row],[REPLACEMENT COST]]*1.07</f>
        <v>105.93</v>
      </c>
      <c r="G31" t="s">
        <v>5</v>
      </c>
    </row>
    <row r="32" spans="1:7" x14ac:dyDescent="0.25">
      <c r="A32" t="s">
        <v>31</v>
      </c>
      <c r="B32" t="s">
        <v>1</v>
      </c>
      <c r="C32" t="s">
        <v>2</v>
      </c>
      <c r="D32" s="5" t="s">
        <v>86</v>
      </c>
      <c r="E32" s="4">
        <v>15</v>
      </c>
      <c r="F32" s="4">
        <f>Table1[[#This Row],[REPLACEMENT COST]]*1.07</f>
        <v>16.05</v>
      </c>
      <c r="G32" t="s">
        <v>5</v>
      </c>
    </row>
    <row r="33" spans="1:7" x14ac:dyDescent="0.25">
      <c r="A33" t="s">
        <v>45</v>
      </c>
      <c r="B33" t="s">
        <v>1</v>
      </c>
      <c r="C33" t="s">
        <v>2</v>
      </c>
      <c r="D33" s="5" t="s">
        <v>86</v>
      </c>
      <c r="E33" s="4">
        <v>89</v>
      </c>
      <c r="F33" s="4">
        <f>Table1[[#This Row],[REPLACEMENT COST]]*1.07</f>
        <v>95.23</v>
      </c>
      <c r="G33" t="s">
        <v>5</v>
      </c>
    </row>
    <row r="34" spans="1:7" x14ac:dyDescent="0.25">
      <c r="A34" t="s">
        <v>74</v>
      </c>
      <c r="B34" t="s">
        <v>1</v>
      </c>
      <c r="C34" t="s">
        <v>2</v>
      </c>
      <c r="D34" s="5" t="s">
        <v>86</v>
      </c>
      <c r="E34" s="4">
        <v>69.989999999999995</v>
      </c>
      <c r="F34" s="4">
        <f>Table1[[#This Row],[REPLACEMENT COST]]*1.07</f>
        <v>74.889300000000006</v>
      </c>
      <c r="G34" t="s">
        <v>5</v>
      </c>
    </row>
    <row r="35" spans="1:7" ht="30" x14ac:dyDescent="0.25">
      <c r="A35" t="s">
        <v>37</v>
      </c>
      <c r="B35" t="s">
        <v>1</v>
      </c>
      <c r="C35" t="s">
        <v>2</v>
      </c>
      <c r="D35" s="5" t="s">
        <v>86</v>
      </c>
      <c r="E35" s="4">
        <v>14</v>
      </c>
      <c r="F35" s="4">
        <f>Table1[[#This Row],[REPLACEMENT COST]]*1.07</f>
        <v>14.98</v>
      </c>
      <c r="G35" t="s">
        <v>5</v>
      </c>
    </row>
    <row r="36" spans="1:7" x14ac:dyDescent="0.25">
      <c r="A36" t="s">
        <v>79</v>
      </c>
      <c r="B36" t="s">
        <v>1</v>
      </c>
      <c r="C36" t="s">
        <v>2</v>
      </c>
      <c r="D36" s="5" t="s">
        <v>86</v>
      </c>
      <c r="E36" s="4">
        <v>149</v>
      </c>
      <c r="F36" s="4">
        <f>Table1[[#This Row],[REPLACEMENT COST]]*1.07</f>
        <v>159.43</v>
      </c>
      <c r="G36" t="s">
        <v>5</v>
      </c>
    </row>
    <row r="37" spans="1:7" x14ac:dyDescent="0.25">
      <c r="A37" t="s">
        <v>80</v>
      </c>
      <c r="B37" t="s">
        <v>1</v>
      </c>
      <c r="C37" t="s">
        <v>2</v>
      </c>
      <c r="D37" s="5" t="s">
        <v>86</v>
      </c>
      <c r="E37" s="4">
        <v>42</v>
      </c>
      <c r="F37" s="4">
        <f>Table1[[#This Row],[REPLACEMENT COST]]*1.07</f>
        <v>44.940000000000005</v>
      </c>
      <c r="G37" t="s">
        <v>5</v>
      </c>
    </row>
    <row r="38" spans="1:7" x14ac:dyDescent="0.25">
      <c r="A38" t="s">
        <v>81</v>
      </c>
      <c r="B38" t="s">
        <v>1</v>
      </c>
      <c r="C38" t="s">
        <v>2</v>
      </c>
      <c r="D38" s="5" t="s">
        <v>86</v>
      </c>
      <c r="E38" s="4">
        <v>9</v>
      </c>
      <c r="F38" s="4">
        <f>Table1[[#This Row],[REPLACEMENT COST]]*1.07</f>
        <v>9.6300000000000008</v>
      </c>
      <c r="G38" t="s">
        <v>5</v>
      </c>
    </row>
    <row r="39" spans="1:7" x14ac:dyDescent="0.25">
      <c r="A39" t="s">
        <v>75</v>
      </c>
      <c r="B39" t="s">
        <v>1</v>
      </c>
      <c r="C39" t="s">
        <v>2</v>
      </c>
      <c r="D39" s="5" t="s">
        <v>86</v>
      </c>
      <c r="E39" s="4">
        <v>199</v>
      </c>
      <c r="F39" s="4">
        <f>Table1[[#This Row],[REPLACEMENT COST]]*1.07</f>
        <v>212.93</v>
      </c>
      <c r="G39" t="s">
        <v>5</v>
      </c>
    </row>
    <row r="40" spans="1:7" x14ac:dyDescent="0.25">
      <c r="A40" t="s">
        <v>82</v>
      </c>
      <c r="B40" t="s">
        <v>1</v>
      </c>
      <c r="C40" t="s">
        <v>2</v>
      </c>
      <c r="D40" s="5" t="s">
        <v>86</v>
      </c>
      <c r="E40" s="4">
        <v>49.99</v>
      </c>
      <c r="F40" s="4">
        <f>Table1[[#This Row],[REPLACEMENT COST]]*1.07</f>
        <v>53.489300000000007</v>
      </c>
      <c r="G40" t="s">
        <v>5</v>
      </c>
    </row>
    <row r="41" spans="1:7" x14ac:dyDescent="0.25">
      <c r="A41" t="s">
        <v>90</v>
      </c>
      <c r="B41" t="s">
        <v>1</v>
      </c>
      <c r="C41" t="s">
        <v>2</v>
      </c>
      <c r="D41" s="5" t="s">
        <v>86</v>
      </c>
      <c r="E41" s="4">
        <v>25</v>
      </c>
      <c r="F41" s="4">
        <f>Table1[[#This Row],[REPLACEMENT COST]]*1.07</f>
        <v>26.75</v>
      </c>
      <c r="G41" t="s">
        <v>5</v>
      </c>
    </row>
    <row r="42" spans="1:7" x14ac:dyDescent="0.25">
      <c r="A42" t="s">
        <v>91</v>
      </c>
      <c r="B42" t="s">
        <v>1</v>
      </c>
      <c r="C42" t="s">
        <v>2</v>
      </c>
      <c r="D42" s="5" t="s">
        <v>86</v>
      </c>
      <c r="E42" s="4">
        <v>25</v>
      </c>
      <c r="F42" s="4">
        <f>Table1[[#This Row],[REPLACEMENT COST]]*1.07</f>
        <v>26.75</v>
      </c>
      <c r="G42" t="s">
        <v>5</v>
      </c>
    </row>
    <row r="43" spans="1:7" x14ac:dyDescent="0.25">
      <c r="A43" t="s">
        <v>83</v>
      </c>
      <c r="B43" t="s">
        <v>1</v>
      </c>
      <c r="C43" t="s">
        <v>2</v>
      </c>
      <c r="D43" s="5" t="s">
        <v>86</v>
      </c>
      <c r="E43" s="4">
        <v>12</v>
      </c>
      <c r="F43" s="4">
        <f>Table1[[#This Row],[REPLACEMENT COST]]*1.07</f>
        <v>12.84</v>
      </c>
      <c r="G43" t="s">
        <v>5</v>
      </c>
    </row>
    <row r="44" spans="1:7" x14ac:dyDescent="0.25">
      <c r="A44" t="s">
        <v>28</v>
      </c>
      <c r="B44" t="s">
        <v>1</v>
      </c>
      <c r="C44" t="s">
        <v>2</v>
      </c>
      <c r="D44" s="5" t="s">
        <v>86</v>
      </c>
      <c r="E44" s="4">
        <v>200</v>
      </c>
      <c r="F44" s="4">
        <f>Table1[[#This Row],[REPLACEMENT COST]]*1.07</f>
        <v>214</v>
      </c>
      <c r="G44" t="s">
        <v>6</v>
      </c>
    </row>
    <row r="45" spans="1:7" x14ac:dyDescent="0.25">
      <c r="A45" t="s">
        <v>34</v>
      </c>
      <c r="B45" t="s">
        <v>1</v>
      </c>
      <c r="C45" t="s">
        <v>2</v>
      </c>
      <c r="D45" s="5" t="s">
        <v>86</v>
      </c>
      <c r="E45" s="4">
        <v>45</v>
      </c>
      <c r="F45" s="4">
        <f>Table1[[#This Row],[REPLACEMENT COST]]*1.07</f>
        <v>48.150000000000006</v>
      </c>
      <c r="G45" t="s">
        <v>6</v>
      </c>
    </row>
    <row r="46" spans="1:7" x14ac:dyDescent="0.25">
      <c r="A46" t="s">
        <v>32</v>
      </c>
      <c r="B46" t="s">
        <v>1</v>
      </c>
      <c r="C46" t="s">
        <v>2</v>
      </c>
      <c r="D46" s="5" t="s">
        <v>86</v>
      </c>
      <c r="E46" s="4">
        <v>25</v>
      </c>
      <c r="F46" s="4">
        <f>Table1[[#This Row],[REPLACEMENT COST]]*1.07</f>
        <v>26.75</v>
      </c>
      <c r="G46" t="s">
        <v>6</v>
      </c>
    </row>
    <row r="47" spans="1:7" x14ac:dyDescent="0.25">
      <c r="A47" t="s">
        <v>23</v>
      </c>
      <c r="B47" t="s">
        <v>1</v>
      </c>
      <c r="C47" t="s">
        <v>2</v>
      </c>
      <c r="D47" s="5" t="s">
        <v>86</v>
      </c>
      <c r="E47" s="4">
        <v>200</v>
      </c>
      <c r="F47" s="4">
        <f>Table1[[#This Row],[REPLACEMENT COST]]*1.07</f>
        <v>214</v>
      </c>
      <c r="G47" t="s">
        <v>6</v>
      </c>
    </row>
    <row r="48" spans="1:7" x14ac:dyDescent="0.25">
      <c r="A48" t="s">
        <v>49</v>
      </c>
      <c r="B48" t="s">
        <v>1</v>
      </c>
      <c r="C48" t="s">
        <v>2</v>
      </c>
      <c r="D48" s="5" t="s">
        <v>86</v>
      </c>
      <c r="E48" s="4">
        <v>0</v>
      </c>
      <c r="F48" s="4">
        <f>Table1[[#This Row],[REPLACEMENT COST]]*1.07</f>
        <v>0</v>
      </c>
      <c r="G48" t="s">
        <v>6</v>
      </c>
    </row>
    <row r="49" spans="1:7" x14ac:dyDescent="0.25">
      <c r="A49" t="s">
        <v>76</v>
      </c>
      <c r="B49" t="s">
        <v>1</v>
      </c>
      <c r="C49" t="s">
        <v>2</v>
      </c>
      <c r="D49" s="5" t="s">
        <v>86</v>
      </c>
      <c r="E49" s="4">
        <v>5</v>
      </c>
      <c r="F49" s="4">
        <f>Table1[[#This Row],[REPLACEMENT COST]]*1.07</f>
        <v>5.3500000000000005</v>
      </c>
      <c r="G49" t="s">
        <v>6</v>
      </c>
    </row>
    <row r="50" spans="1:7" x14ac:dyDescent="0.25">
      <c r="A50" t="s">
        <v>8</v>
      </c>
      <c r="B50" t="s">
        <v>4</v>
      </c>
      <c r="C50" t="s">
        <v>2</v>
      </c>
      <c r="D50" s="5" t="s">
        <v>86</v>
      </c>
      <c r="E50" s="4">
        <v>21</v>
      </c>
      <c r="F50" s="4">
        <f>Table1[[#This Row],[REPLACEMENT COST]]*1.07</f>
        <v>22.470000000000002</v>
      </c>
      <c r="G50" t="s">
        <v>7</v>
      </c>
    </row>
    <row r="51" spans="1:7" x14ac:dyDescent="0.25">
      <c r="A51" t="s">
        <v>20</v>
      </c>
      <c r="B51" t="s">
        <v>1</v>
      </c>
      <c r="C51" t="s">
        <v>2</v>
      </c>
      <c r="D51" s="5" t="s">
        <v>86</v>
      </c>
      <c r="E51" s="4">
        <v>10</v>
      </c>
      <c r="F51" s="4">
        <f>Table1[[#This Row],[REPLACEMENT COST]]*1.07</f>
        <v>10.700000000000001</v>
      </c>
      <c r="G51" t="s">
        <v>7</v>
      </c>
    </row>
    <row r="52" spans="1:7" x14ac:dyDescent="0.25">
      <c r="A52" t="s">
        <v>22</v>
      </c>
      <c r="B52" t="s">
        <v>4</v>
      </c>
      <c r="C52" t="s">
        <v>2</v>
      </c>
      <c r="D52" s="5" t="s">
        <v>85</v>
      </c>
      <c r="E52" s="4">
        <v>35</v>
      </c>
      <c r="F52" s="4">
        <f>Table1[[#This Row],[REPLACEMENT COST]]*1.07</f>
        <v>37.450000000000003</v>
      </c>
      <c r="G52" t="s">
        <v>7</v>
      </c>
    </row>
    <row r="53" spans="1:7" x14ac:dyDescent="0.25">
      <c r="A53" t="s">
        <v>59</v>
      </c>
      <c r="B53" t="s">
        <v>1</v>
      </c>
      <c r="C53" t="s">
        <v>2</v>
      </c>
      <c r="D53" s="5" t="s">
        <v>86</v>
      </c>
      <c r="E53" s="4">
        <v>10</v>
      </c>
      <c r="F53" s="4">
        <f>Table1[[#This Row],[REPLACEMENT COST]]*1.07</f>
        <v>10.700000000000001</v>
      </c>
      <c r="G53" t="s">
        <v>7</v>
      </c>
    </row>
    <row r="54" spans="1:7" x14ac:dyDescent="0.25">
      <c r="A54" t="s">
        <v>24</v>
      </c>
      <c r="B54" t="s">
        <v>1</v>
      </c>
      <c r="C54" t="s">
        <v>2</v>
      </c>
      <c r="D54" s="5" t="s">
        <v>86</v>
      </c>
      <c r="E54" s="4">
        <v>10</v>
      </c>
      <c r="F54" s="4">
        <f>Table1[[#This Row],[REPLACEMENT COST]]*1.07</f>
        <v>10.700000000000001</v>
      </c>
      <c r="G54" t="s">
        <v>7</v>
      </c>
    </row>
    <row r="55" spans="1:7" x14ac:dyDescent="0.25">
      <c r="A55" t="s">
        <v>18</v>
      </c>
      <c r="B55" t="s">
        <v>1</v>
      </c>
      <c r="C55" t="s">
        <v>2</v>
      </c>
      <c r="D55" s="5" t="s">
        <v>86</v>
      </c>
      <c r="E55" s="4">
        <v>16</v>
      </c>
      <c r="F55" s="4">
        <f>Table1[[#This Row],[REPLACEMENT COST]]*1.07</f>
        <v>17.12</v>
      </c>
      <c r="G55" t="s">
        <v>7</v>
      </c>
    </row>
    <row r="56" spans="1:7" x14ac:dyDescent="0.25">
      <c r="A56" t="s">
        <v>17</v>
      </c>
      <c r="B56" t="s">
        <v>1</v>
      </c>
      <c r="C56" t="s">
        <v>2</v>
      </c>
      <c r="D56" s="5" t="s">
        <v>86</v>
      </c>
      <c r="E56" s="4">
        <v>35</v>
      </c>
      <c r="F56" s="4">
        <f>Table1[[#This Row],[REPLACEMENT COST]]*1.07</f>
        <v>37.450000000000003</v>
      </c>
      <c r="G56" t="s">
        <v>7</v>
      </c>
    </row>
    <row r="57" spans="1:7" x14ac:dyDescent="0.25">
      <c r="A57" t="s">
        <v>21</v>
      </c>
      <c r="B57" t="s">
        <v>1</v>
      </c>
      <c r="C57" t="s">
        <v>2</v>
      </c>
      <c r="D57" s="5" t="s">
        <v>86</v>
      </c>
      <c r="E57" s="4">
        <v>28</v>
      </c>
      <c r="F57" s="4">
        <f>Table1[[#This Row],[REPLACEMENT COST]]*1.07</f>
        <v>29.96</v>
      </c>
      <c r="G57" t="s">
        <v>7</v>
      </c>
    </row>
    <row r="58" spans="1:7" x14ac:dyDescent="0.25">
      <c r="A58" t="s">
        <v>11</v>
      </c>
      <c r="B58" t="s">
        <v>1</v>
      </c>
      <c r="C58" t="s">
        <v>2</v>
      </c>
      <c r="D58" s="5" t="s">
        <v>86</v>
      </c>
      <c r="E58" s="4">
        <v>10</v>
      </c>
      <c r="F58" s="4">
        <f>Table1[[#This Row],[REPLACEMENT COST]]*1.07</f>
        <v>10.700000000000001</v>
      </c>
      <c r="G58" t="s">
        <v>7</v>
      </c>
    </row>
    <row r="59" spans="1:7" x14ac:dyDescent="0.25">
      <c r="A59" t="s">
        <v>70</v>
      </c>
      <c r="B59" t="s">
        <v>1</v>
      </c>
      <c r="C59" t="s">
        <v>2</v>
      </c>
      <c r="D59" s="5" t="s">
        <v>86</v>
      </c>
      <c r="E59" s="4">
        <v>23</v>
      </c>
      <c r="F59" s="4">
        <f>Table1[[#This Row],[REPLACEMENT COST]]*1.07</f>
        <v>24.610000000000003</v>
      </c>
      <c r="G59" t="s">
        <v>7</v>
      </c>
    </row>
    <row r="60" spans="1:7" x14ac:dyDescent="0.25">
      <c r="A60" t="s">
        <v>73</v>
      </c>
      <c r="B60" t="s">
        <v>1</v>
      </c>
      <c r="C60" t="s">
        <v>2</v>
      </c>
      <c r="D60" s="5" t="s">
        <v>86</v>
      </c>
      <c r="E60" s="4">
        <v>9</v>
      </c>
      <c r="F60" s="4">
        <f>Table1[[#This Row],[REPLACEMENT COST]]*1.07</f>
        <v>9.6300000000000008</v>
      </c>
      <c r="G60" t="s">
        <v>7</v>
      </c>
    </row>
    <row r="61" spans="1:7" x14ac:dyDescent="0.25">
      <c r="A61" t="s">
        <v>73</v>
      </c>
      <c r="B61" t="s">
        <v>1</v>
      </c>
      <c r="C61" t="s">
        <v>2</v>
      </c>
      <c r="D61" s="5" t="s">
        <v>86</v>
      </c>
      <c r="E61" s="4">
        <v>9</v>
      </c>
      <c r="F61" s="4">
        <f>Table1[[#This Row],[REPLACEMENT COST]]*1.07</f>
        <v>9.6300000000000008</v>
      </c>
      <c r="G61" t="s">
        <v>7</v>
      </c>
    </row>
    <row r="62" spans="1:7" x14ac:dyDescent="0.25">
      <c r="A62" t="s">
        <v>55</v>
      </c>
      <c r="B62" t="s">
        <v>1</v>
      </c>
      <c r="C62" t="s">
        <v>2</v>
      </c>
      <c r="D62" s="5" t="s">
        <v>86</v>
      </c>
      <c r="E62" s="4">
        <v>26</v>
      </c>
      <c r="F62" s="4">
        <f>Table1[[#This Row],[REPLACEMENT COST]]*1.07</f>
        <v>27.82</v>
      </c>
      <c r="G62" t="s">
        <v>7</v>
      </c>
    </row>
    <row r="63" spans="1:7" x14ac:dyDescent="0.25">
      <c r="A63" t="s">
        <v>56</v>
      </c>
      <c r="B63" t="s">
        <v>1</v>
      </c>
      <c r="C63" t="s">
        <v>2</v>
      </c>
      <c r="D63" s="5" t="s">
        <v>86</v>
      </c>
      <c r="E63" s="4">
        <v>0</v>
      </c>
      <c r="F63" s="4">
        <f>Table1[[#This Row],[REPLACEMENT COST]]*1.07</f>
        <v>0</v>
      </c>
      <c r="G63" t="s">
        <v>7</v>
      </c>
    </row>
    <row r="64" spans="1:7" x14ac:dyDescent="0.25">
      <c r="A64" t="s">
        <v>27</v>
      </c>
      <c r="B64" t="s">
        <v>1</v>
      </c>
      <c r="C64" t="s">
        <v>2</v>
      </c>
      <c r="D64" s="5" t="s">
        <v>86</v>
      </c>
      <c r="E64" s="4">
        <v>7</v>
      </c>
      <c r="F64" s="4">
        <f>Table1[[#This Row],[REPLACEMENT COST]]*1.07</f>
        <v>7.49</v>
      </c>
      <c r="G64" t="s">
        <v>7</v>
      </c>
    </row>
    <row r="65" spans="1:15" x14ac:dyDescent="0.25">
      <c r="A65" t="s">
        <v>36</v>
      </c>
      <c r="B65" t="s">
        <v>1</v>
      </c>
      <c r="C65" t="s">
        <v>2</v>
      </c>
      <c r="D65" s="5" t="s">
        <v>86</v>
      </c>
      <c r="E65" s="4">
        <v>22</v>
      </c>
      <c r="F65" s="4">
        <f>Table1[[#This Row],[REPLACEMENT COST]]*1.07</f>
        <v>23.540000000000003</v>
      </c>
      <c r="G65" t="s">
        <v>7</v>
      </c>
    </row>
    <row r="66" spans="1:15" x14ac:dyDescent="0.25">
      <c r="A66" t="s">
        <v>14</v>
      </c>
      <c r="B66" t="s">
        <v>1</v>
      </c>
      <c r="C66" t="s">
        <v>2</v>
      </c>
      <c r="D66" s="5" t="s">
        <v>86</v>
      </c>
      <c r="E66" s="4">
        <v>9</v>
      </c>
      <c r="F66" s="4">
        <f>Table1[[#This Row],[REPLACEMENT COST]]*1.07</f>
        <v>9.6300000000000008</v>
      </c>
      <c r="G66" t="s">
        <v>7</v>
      </c>
    </row>
    <row r="67" spans="1:15" x14ac:dyDescent="0.25">
      <c r="A67" t="s">
        <v>53</v>
      </c>
      <c r="B67" t="s">
        <v>1</v>
      </c>
      <c r="C67" t="s">
        <v>2</v>
      </c>
      <c r="D67" s="5" t="s">
        <v>86</v>
      </c>
      <c r="E67" s="4">
        <v>19</v>
      </c>
      <c r="F67" s="4">
        <f>Table1[[#This Row],[REPLACEMENT COST]]*1.07</f>
        <v>20.330000000000002</v>
      </c>
      <c r="G67" t="s">
        <v>7</v>
      </c>
    </row>
    <row r="68" spans="1:15" x14ac:dyDescent="0.25">
      <c r="A68" t="s">
        <v>13</v>
      </c>
      <c r="B68" t="s">
        <v>1</v>
      </c>
      <c r="C68" t="s">
        <v>2</v>
      </c>
      <c r="D68" s="5" t="s">
        <v>86</v>
      </c>
      <c r="E68" s="4">
        <v>7</v>
      </c>
      <c r="F68" s="4">
        <f>Table1[[#This Row],[REPLACEMENT COST]]*1.07</f>
        <v>7.49</v>
      </c>
      <c r="G68" t="s">
        <v>7</v>
      </c>
    </row>
    <row r="69" spans="1:15" x14ac:dyDescent="0.25">
      <c r="A69" t="s">
        <v>63</v>
      </c>
      <c r="B69" t="s">
        <v>1</v>
      </c>
      <c r="C69" t="s">
        <v>2</v>
      </c>
      <c r="D69" s="5" t="s">
        <v>86</v>
      </c>
      <c r="E69" s="4">
        <v>5</v>
      </c>
      <c r="F69" s="4">
        <f>Table1[[#This Row],[REPLACEMENT COST]]*1.07</f>
        <v>5.3500000000000005</v>
      </c>
      <c r="G69" t="s">
        <v>7</v>
      </c>
    </row>
    <row r="70" spans="1:15" x14ac:dyDescent="0.25">
      <c r="A70" t="s">
        <v>38</v>
      </c>
      <c r="B70" t="s">
        <v>1</v>
      </c>
      <c r="C70" t="s">
        <v>2</v>
      </c>
      <c r="D70" s="5" t="s">
        <v>86</v>
      </c>
      <c r="E70" s="4">
        <v>5</v>
      </c>
      <c r="F70" s="4">
        <f>Table1[[#This Row],[REPLACEMENT COST]]*1.07</f>
        <v>5.3500000000000005</v>
      </c>
      <c r="G70" t="s">
        <v>7</v>
      </c>
    </row>
    <row r="71" spans="1:15" x14ac:dyDescent="0.25">
      <c r="A71" t="s">
        <v>30</v>
      </c>
      <c r="B71" t="s">
        <v>1</v>
      </c>
      <c r="C71" t="s">
        <v>2</v>
      </c>
      <c r="D71" s="5" t="s">
        <v>86</v>
      </c>
      <c r="E71" s="4">
        <v>5</v>
      </c>
      <c r="F71" s="4">
        <f>Table1[[#This Row],[REPLACEMENT COST]]*1.07</f>
        <v>5.3500000000000005</v>
      </c>
      <c r="G71" t="s">
        <v>7</v>
      </c>
    </row>
    <row r="72" spans="1:15" x14ac:dyDescent="0.25">
      <c r="A72" t="s">
        <v>29</v>
      </c>
      <c r="B72" t="s">
        <v>1</v>
      </c>
      <c r="C72" t="s">
        <v>2</v>
      </c>
      <c r="D72" s="5" t="s">
        <v>86</v>
      </c>
      <c r="E72" s="4">
        <v>25</v>
      </c>
      <c r="F72" s="4">
        <f>Table1[[#This Row],[REPLACEMENT COST]]*1.07</f>
        <v>26.75</v>
      </c>
      <c r="G72" t="s">
        <v>7</v>
      </c>
    </row>
    <row r="73" spans="1:15" x14ac:dyDescent="0.25">
      <c r="A73" t="s">
        <v>72</v>
      </c>
      <c r="B73" t="s">
        <v>1</v>
      </c>
      <c r="C73" t="s">
        <v>2</v>
      </c>
      <c r="D73" s="5" t="s">
        <v>86</v>
      </c>
      <c r="E73" s="4">
        <v>9</v>
      </c>
      <c r="F73" s="4">
        <f>Table1[[#This Row],[REPLACEMENT COST]]*1.07</f>
        <v>9.6300000000000008</v>
      </c>
      <c r="G73" t="s">
        <v>7</v>
      </c>
      <c r="O73" s="9" t="s">
        <v>109</v>
      </c>
    </row>
    <row r="74" spans="1:15" x14ac:dyDescent="0.25">
      <c r="A74" t="s">
        <v>54</v>
      </c>
      <c r="B74" t="s">
        <v>1</v>
      </c>
      <c r="C74" t="s">
        <v>2</v>
      </c>
      <c r="D74" s="5" t="s">
        <v>86</v>
      </c>
      <c r="E74" s="4">
        <v>29.99</v>
      </c>
      <c r="F74" s="4">
        <f>Table1[[#This Row],[REPLACEMENT COST]]*1.07</f>
        <v>32.089300000000001</v>
      </c>
      <c r="G74" t="s">
        <v>7</v>
      </c>
      <c r="O74" s="9" t="s">
        <v>109</v>
      </c>
    </row>
    <row r="75" spans="1:15" x14ac:dyDescent="0.25">
      <c r="A75" t="s">
        <v>16</v>
      </c>
      <c r="B75" t="s">
        <v>4</v>
      </c>
      <c r="C75" t="s">
        <v>2</v>
      </c>
      <c r="D75" s="5" t="s">
        <v>86</v>
      </c>
      <c r="E75" s="4">
        <v>11</v>
      </c>
      <c r="F75" s="4">
        <f>Table1[[#This Row],[REPLACEMENT COST]]*1.07</f>
        <v>11.770000000000001</v>
      </c>
      <c r="G75" t="s">
        <v>7</v>
      </c>
    </row>
    <row r="76" spans="1:15" x14ac:dyDescent="0.25">
      <c r="A76" t="s">
        <v>77</v>
      </c>
      <c r="B76" t="s">
        <v>1</v>
      </c>
      <c r="C76" t="s">
        <v>2</v>
      </c>
      <c r="D76" s="5" t="s">
        <v>86</v>
      </c>
      <c r="E76" s="4">
        <v>4</v>
      </c>
      <c r="F76" s="4">
        <f>Table1[[#This Row],[REPLACEMENT COST]]*1.07</f>
        <v>4.28</v>
      </c>
      <c r="G76" t="s">
        <v>7</v>
      </c>
      <c r="O76" s="9"/>
    </row>
    <row r="77" spans="1:15" x14ac:dyDescent="0.25">
      <c r="A77" t="s">
        <v>43</v>
      </c>
      <c r="B77" t="s">
        <v>1</v>
      </c>
      <c r="C77" t="s">
        <v>2</v>
      </c>
      <c r="D77" s="5" t="s">
        <v>86</v>
      </c>
      <c r="E77" s="4">
        <v>24</v>
      </c>
      <c r="F77" s="4">
        <f>Table1[[#This Row],[REPLACEMENT COST]]*1.07</f>
        <v>25.68</v>
      </c>
      <c r="G77" t="s">
        <v>7</v>
      </c>
    </row>
    <row r="78" spans="1:15" x14ac:dyDescent="0.25">
      <c r="A78" t="s">
        <v>12</v>
      </c>
      <c r="B78" t="s">
        <v>1</v>
      </c>
      <c r="C78" t="s">
        <v>2</v>
      </c>
      <c r="D78" s="5" t="s">
        <v>86</v>
      </c>
      <c r="E78" s="4">
        <v>6</v>
      </c>
      <c r="F78" s="4">
        <f>Table1[[#This Row],[REPLACEMENT COST]]*1.07</f>
        <v>6.42</v>
      </c>
      <c r="G78" t="s">
        <v>7</v>
      </c>
    </row>
    <row r="79" spans="1:15" x14ac:dyDescent="0.25">
      <c r="A79" t="s">
        <v>78</v>
      </c>
      <c r="B79" t="s">
        <v>1</v>
      </c>
      <c r="C79" t="s">
        <v>2</v>
      </c>
      <c r="D79" s="5" t="s">
        <v>86</v>
      </c>
      <c r="E79" s="4">
        <v>10</v>
      </c>
      <c r="F79" s="4">
        <f>Table1[[#This Row],[REPLACEMENT COST]]*1.07</f>
        <v>10.700000000000001</v>
      </c>
      <c r="G79" t="s">
        <v>7</v>
      </c>
    </row>
    <row r="80" spans="1:15" x14ac:dyDescent="0.25">
      <c r="A80" t="s">
        <v>89</v>
      </c>
      <c r="B80" t="s">
        <v>1</v>
      </c>
      <c r="C80" t="s">
        <v>2</v>
      </c>
      <c r="D80" s="5" t="s">
        <v>86</v>
      </c>
      <c r="E80" s="4">
        <v>13</v>
      </c>
      <c r="F80" s="4">
        <f>Table1[[#This Row],[REPLACEMENT COST]]*1.07</f>
        <v>13.91</v>
      </c>
      <c r="G80" t="s">
        <v>7</v>
      </c>
    </row>
    <row r="81" spans="1:7" x14ac:dyDescent="0.25">
      <c r="A81" t="s">
        <v>52</v>
      </c>
      <c r="B81" t="s">
        <v>1</v>
      </c>
      <c r="C81" t="s">
        <v>2</v>
      </c>
      <c r="D81" s="5" t="s">
        <v>86</v>
      </c>
      <c r="E81" s="4">
        <v>10</v>
      </c>
      <c r="F81" s="4">
        <f>Table1[[#This Row],[REPLACEMENT COST]]*1.07</f>
        <v>10.700000000000001</v>
      </c>
      <c r="G81" t="s">
        <v>7</v>
      </c>
    </row>
    <row r="82" spans="1:7" x14ac:dyDescent="0.25">
      <c r="A82" t="s">
        <v>88</v>
      </c>
      <c r="E82" s="6"/>
      <c r="F82" s="7">
        <f>SUBTOTAL(109,Table1[TOTAT WITH TAX])</f>
        <v>8897.0072000000055</v>
      </c>
      <c r="G82">
        <f>SUBTOTAL(103,Table1[ASSET TYPE])</f>
        <v>80</v>
      </c>
    </row>
    <row r="84" spans="1:7" x14ac:dyDescent="0.25">
      <c r="A84" s="8" t="s">
        <v>92</v>
      </c>
    </row>
    <row r="85" spans="1:7" x14ac:dyDescent="0.25">
      <c r="A85" t="s">
        <v>93</v>
      </c>
    </row>
    <row r="86" spans="1:7" x14ac:dyDescent="0.25">
      <c r="A86" t="s">
        <v>94</v>
      </c>
    </row>
    <row r="87" spans="1:7" x14ac:dyDescent="0.25">
      <c r="A87" t="s">
        <v>95</v>
      </c>
    </row>
    <row r="88" spans="1:7" x14ac:dyDescent="0.25">
      <c r="A88" t="s">
        <v>96</v>
      </c>
    </row>
    <row r="89" spans="1:7" x14ac:dyDescent="0.25">
      <c r="A89" t="s">
        <v>97</v>
      </c>
    </row>
    <row r="90" spans="1:7" x14ac:dyDescent="0.25">
      <c r="A90" t="s">
        <v>98</v>
      </c>
    </row>
    <row r="91" spans="1:7" x14ac:dyDescent="0.25">
      <c r="A91" t="s">
        <v>99</v>
      </c>
    </row>
    <row r="93" spans="1:7" x14ac:dyDescent="0.25">
      <c r="A93" s="8" t="s">
        <v>100</v>
      </c>
    </row>
    <row r="94" spans="1:7" x14ac:dyDescent="0.25">
      <c r="A94" t="s">
        <v>101</v>
      </c>
    </row>
    <row r="95" spans="1:7" x14ac:dyDescent="0.25">
      <c r="A95" t="s">
        <v>102</v>
      </c>
    </row>
    <row r="96" spans="1:7" x14ac:dyDescent="0.25">
      <c r="A96" t="s">
        <v>103</v>
      </c>
    </row>
    <row r="97" spans="1:1" x14ac:dyDescent="0.25">
      <c r="A97" t="s">
        <v>104</v>
      </c>
    </row>
    <row r="98" spans="1:1" x14ac:dyDescent="0.25">
      <c r="A98" t="s">
        <v>105</v>
      </c>
    </row>
    <row r="99" spans="1:1" x14ac:dyDescent="0.25">
      <c r="A99" t="s">
        <v>106</v>
      </c>
    </row>
    <row r="100" spans="1:1" x14ac:dyDescent="0.25">
      <c r="A100" t="s">
        <v>107</v>
      </c>
    </row>
    <row r="101" spans="1:1" x14ac:dyDescent="0.25">
      <c r="A101" t="s">
        <v>108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Rice-Velasquez</dc:creator>
  <cp:lastModifiedBy>Cody Rice-Velasquez</cp:lastModifiedBy>
  <dcterms:created xsi:type="dcterms:W3CDTF">2025-03-28T17:17:09Z</dcterms:created>
  <dcterms:modified xsi:type="dcterms:W3CDTF">2025-03-28T19:48:06Z</dcterms:modified>
</cp:coreProperties>
</file>