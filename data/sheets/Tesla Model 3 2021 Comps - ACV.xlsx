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  <sheet name="Sheet1_1" r:id="rId2" sheetId="2"/>
  </sheets>
</workbook>
</file>

<file path=xl/sharedStrings.xml><?xml version="1.0" encoding="utf-8"?>
<sst xmlns="http://schemas.openxmlformats.org/spreadsheetml/2006/main" count="219" uniqueCount="219">
  <si>
    <t>Item</t>
  </si>
  <si>
    <t>Loss Unit</t>
  </si>
  <si>
    <t>Comp 1</t>
  </si>
  <si>
    <t>Comp 2</t>
  </si>
  <si>
    <t>Comp 3</t>
  </si>
  <si>
    <t>Comp 4</t>
  </si>
  <si>
    <t>Comp 5</t>
  </si>
  <si>
    <t>A. Config</t>
  </si>
  <si>
    <t>Model 3</t>
  </si>
  <si>
    <t>Model 3</t>
  </si>
  <si>
    <t>Model 3</t>
  </si>
  <si>
    <t>Model 3</t>
  </si>
  <si>
    <t>Model 3</t>
  </si>
  <si>
    <t>Model 3</t>
  </si>
  <si>
    <t>A. Year Make Model</t>
  </si>
  <si>
    <t>A. VIN</t>
  </si>
  <si>
    <t>5YJ3E1EB2MF014911</t>
  </si>
  <si>
    <t>5YJ3E1EB1MF974530</t>
  </si>
  <si>
    <t>5YJ3E1EB2MF014911</t>
  </si>
  <si>
    <t>5YJ3E1EB2MF045124</t>
  </si>
  <si>
    <t>5YJ3E1EB0MF988130</t>
  </si>
  <si>
    <t>A. Odometer</t>
  </si>
  <si>
    <t>A. Desc</t>
  </si>
  <si>
    <t>Loss Unit</t>
  </si>
  <si>
    <t>Used Inventory</t>
  </si>
  <si>
    <t>Used</t>
  </si>
  <si>
    <t>Used</t>
  </si>
  <si>
    <t>A. DriveTrain</t>
  </si>
  <si>
    <t>AWD</t>
  </si>
  <si>
    <t>AWD</t>
  </si>
  <si>
    <t>AWD</t>
  </si>
  <si>
    <t>A. Engine</t>
  </si>
  <si>
    <t>Electric</t>
  </si>
  <si>
    <t>A. Body</t>
  </si>
  <si>
    <t>Sedan</t>
  </si>
  <si>
    <t>A. Price</t>
  </si>
  <si>
    <t>????</t>
  </si>
  <si>
    <t>A3. Condition</t>
  </si>
  <si>
    <t>Excellent</t>
  </si>
  <si>
    <t>Excellent</t>
  </si>
  <si>
    <t>Excellent</t>
  </si>
  <si>
    <t>A2. Features</t>
  </si>
  <si>
    <t>Air Conditioning</t>
  </si>
  <si>
    <t>Alarm</t>
  </si>
  <si>
    <t>Aluminum/Alloy Wheels</t>
  </si>
  <si>
    <t>Anti-Lock Brakes</t>
  </si>
  <si>
    <t>Automatic Transmission</t>
  </si>
  <si>
    <t>Autopilot</t>
  </si>
  <si>
    <t>Auxiliary Audio Connection</t>
  </si>
  <si>
    <t>AWD - 4 Wheel Drive</t>
  </si>
  <si>
    <t>Backup Camera</t>
  </si>
  <si>
    <t>Blind Spot Detection</t>
  </si>
  <si>
    <t>Bucket Seats</t>
  </si>
  <si>
    <t>Climate Control</t>
  </si>
  <si>
    <t>Console/Storage</t>
  </si>
  <si>
    <t>Cruise Control</t>
  </si>
  <si>
    <t>Drivers Side Air Bag</t>
  </si>
  <si>
    <t>Four Wheel Disc Brakes</t>
  </si>
  <si>
    <t>Front Side Impact Air Bags</t>
  </si>
  <si>
    <t>Fog Lamps</t>
  </si>
  <si>
    <t>Hands Free</t>
  </si>
  <si>
    <t>Head/Curtain Air Bags</t>
  </si>
  <si>
    <t>Heated Mirrors</t>
  </si>
  <si>
    <t>Heated Seats</t>
  </si>
  <si>
    <t>Heated Steering Wheel</t>
  </si>
  <si>
    <t>Intelligent Cruise</t>
  </si>
  <si>
    <t>Intermittent Wipers</t>
  </si>
  <si>
    <t>Keyless Entry</t>
  </si>
  <si>
    <t>Lane Departure Warning</t>
  </si>
  <si>
    <t>Leather Seats</t>
  </si>
  <si>
    <t>Memory Package</t>
  </si>
  <si>
    <t>Metallic Paint</t>
  </si>
  <si>
    <t>Navigation System</t>
  </si>
  <si>
    <t>Parking Sensors</t>
  </si>
  <si>
    <t>Passenger Air Bag</t>
  </si>
  <si>
    <t>Power Brakes</t>
  </si>
  <si>
    <t>Power Driver Seat</t>
  </si>
  <si>
    <t>Power Locks</t>
  </si>
  <si>
    <t>Power Mirrors</t>
  </si>
  <si>
    <t>Power Passenger Seat</t>
  </si>
  <si>
    <t>Power Steering</t>
  </si>
  <si>
    <t>Power Trunk/Liftgate</t>
  </si>
  <si>
    <t>Power Windows</t>
  </si>
  <si>
    <t>Premium Radio</t>
  </si>
  <si>
    <t>Rear Defogger</t>
  </si>
  <si>
    <t>Rear Heated Seats</t>
  </si>
  <si>
    <t>Reclining/Lounge Seats</t>
  </si>
  <si>
    <t>Skyview Roof</t>
  </si>
  <si>
    <t>Stability Control</t>
  </si>
  <si>
    <t>Steering Wheel Touch Controls</t>
  </si>
  <si>
    <t>Stereo</t>
  </si>
  <si>
    <t>Surround View Camera</t>
  </si>
  <si>
    <t>Telescopic Wheel</t>
  </si>
  <si>
    <t>Tilt Wheel</t>
  </si>
  <si>
    <t>Tinted Glass</t>
  </si>
  <si>
    <t>Traction Control</t>
  </si>
  <si>
    <t>Wood Interior Trim</t>
  </si>
  <si>
    <t>Xenon Or L.e.d. Headlamps</t>
  </si>
  <si>
    <t>Additional Equipment</t>
  </si>
  <si>
    <t>Full Self-Driving (FSD) Capability - $8000.00</t>
  </si>
  <si>
    <t>Portable Chargers - $250.00</t>
  </si>
  <si>
    <t>All Weather Liners - $225.00</t>
  </si>
  <si>
    <t>Tineted Windows and Roof with Ceramic Windshield application. - $900)</t>
  </si>
  <si>
    <t>Center Consol Trays - $35.00</t>
  </si>
  <si>
    <t>Adjustments</t>
  </si>
  <si>
    <t>Sub-total</t>
  </si>
  <si>
    <t>Sales Taxes</t>
  </si>
  <si>
    <t>Destination Fees</t>
  </si>
  <si>
    <t>Estimated Licensing Fees</t>
  </si>
  <si>
    <t>Total</t>
  </si>
  <si>
    <t>Average</t>
  </si>
  <si>
    <t>Item</t>
  </si>
  <si>
    <t>Loss Unit</t>
  </si>
  <si>
    <t>Comp 1</t>
  </si>
  <si>
    <t>Comp 2</t>
  </si>
  <si>
    <t>Comp 3</t>
  </si>
  <si>
    <t>A. Config</t>
  </si>
  <si>
    <t>Model 3</t>
  </si>
  <si>
    <t>Model 3</t>
  </si>
  <si>
    <t>Model 3</t>
  </si>
  <si>
    <t>Model 3</t>
  </si>
  <si>
    <t>A. Year Make Model</t>
  </si>
  <si>
    <t>A. VIN</t>
  </si>
  <si>
    <t>5YJ3E1EB2MF014911</t>
  </si>
  <si>
    <t>5YJ3E1EB1MF974530</t>
  </si>
  <si>
    <t>5YJ3E1EB2MF045124</t>
  </si>
  <si>
    <t>A. Odometer</t>
  </si>
  <si>
    <t>A. Desc</t>
  </si>
  <si>
    <t>Loss Unit</t>
  </si>
  <si>
    <t>Used Inventory</t>
  </si>
  <si>
    <t>Used</t>
  </si>
  <si>
    <t>Used</t>
  </si>
  <si>
    <t>A. DriveTrain</t>
  </si>
  <si>
    <t>AWD</t>
  </si>
  <si>
    <t>AWD</t>
  </si>
  <si>
    <t>AWD</t>
  </si>
  <si>
    <t>A. Engine</t>
  </si>
  <si>
    <t>Electric</t>
  </si>
  <si>
    <t>Electric</t>
  </si>
  <si>
    <t>A. Body</t>
  </si>
  <si>
    <t>Sedan</t>
  </si>
  <si>
    <t>Sedan</t>
  </si>
  <si>
    <t>A. Price</t>
  </si>
  <si>
    <t>????</t>
  </si>
  <si>
    <t>A3. Condition</t>
  </si>
  <si>
    <t>Excellent</t>
  </si>
  <si>
    <t>Excellent</t>
  </si>
  <si>
    <t>Excellent</t>
  </si>
  <si>
    <t>A2. Features</t>
  </si>
  <si>
    <t>Air Conditioning</t>
  </si>
  <si>
    <t>Alarm</t>
  </si>
  <si>
    <t>Aluminum/Alloy Wheels</t>
  </si>
  <si>
    <t>Anti-Lock Brakes</t>
  </si>
  <si>
    <t>Automatic Transmission</t>
  </si>
  <si>
    <t>Autopilot</t>
  </si>
  <si>
    <t>Auxiliary Audio Connection</t>
  </si>
  <si>
    <t>AWD - 4 Wheel Drive</t>
  </si>
  <si>
    <t>Backup Camera</t>
  </si>
  <si>
    <t>Blind Spot Detection</t>
  </si>
  <si>
    <t>Bucket Seats</t>
  </si>
  <si>
    <t>Climate Control</t>
  </si>
  <si>
    <t>Console/Storage</t>
  </si>
  <si>
    <t>Cruise Control</t>
  </si>
  <si>
    <t>Drivers Side Air Bag</t>
  </si>
  <si>
    <t>Four Wheel Disc Brakes</t>
  </si>
  <si>
    <t>Front Side Impact Air Bags</t>
  </si>
  <si>
    <t>Fog Lamps</t>
  </si>
  <si>
    <t>Hands Free</t>
  </si>
  <si>
    <t>Head/Curtain Air Bags</t>
  </si>
  <si>
    <t>Heated Mirrors</t>
  </si>
  <si>
    <t>Heated Seats</t>
  </si>
  <si>
    <t>Heated Steering Wheel</t>
  </si>
  <si>
    <t>Intelligent Cruise</t>
  </si>
  <si>
    <t>Intermittent Wipers</t>
  </si>
  <si>
    <t>Keyless Entry</t>
  </si>
  <si>
    <t>Lane Departure Warning</t>
  </si>
  <si>
    <t>Leather Seats</t>
  </si>
  <si>
    <t>Memory Package</t>
  </si>
  <si>
    <t>Metallic Paint</t>
  </si>
  <si>
    <t>Navigation System</t>
  </si>
  <si>
    <t>Parking Sensors</t>
  </si>
  <si>
    <t>Passenger Air Bag</t>
  </si>
  <si>
    <t>Power Brakes</t>
  </si>
  <si>
    <t>Power Driver Seat</t>
  </si>
  <si>
    <t>Power Locks</t>
  </si>
  <si>
    <t>Power Mirrors</t>
  </si>
  <si>
    <t>Power Passenger Seat</t>
  </si>
  <si>
    <t>Power Steering</t>
  </si>
  <si>
    <t>Power Trunk/Liftgate</t>
  </si>
  <si>
    <t>Power Windows</t>
  </si>
  <si>
    <t>Premium Radio</t>
  </si>
  <si>
    <t>Rear Defogger</t>
  </si>
  <si>
    <t>Rear Heated Seats</t>
  </si>
  <si>
    <t>Reclining/Lounge Seats</t>
  </si>
  <si>
    <t>Skyview Roof</t>
  </si>
  <si>
    <t>Stability Control</t>
  </si>
  <si>
    <t>Steering Wheel Touch Controls</t>
  </si>
  <si>
    <t>Stereo</t>
  </si>
  <si>
    <t>Surround View Camera</t>
  </si>
  <si>
    <t>Telescopic Wheel</t>
  </si>
  <si>
    <t>Tilt Wheel</t>
  </si>
  <si>
    <t>Tinted Glass</t>
  </si>
  <si>
    <t>Traction Control</t>
  </si>
  <si>
    <t>Wood Interior Trim</t>
  </si>
  <si>
    <t>Xenon Or L.e.d. Headlamps</t>
  </si>
  <si>
    <t>Additional Equipment</t>
  </si>
  <si>
    <t>Full Self-Driving (FSD) Capability - $8000.00</t>
  </si>
  <si>
    <t>Portable Chargers - $250.00</t>
  </si>
  <si>
    <t>All Weather Liners - $225.00</t>
  </si>
  <si>
    <t>Tineted Windows and Roof with Ceramic Windshield application. - $900)</t>
  </si>
  <si>
    <t>Center Consol Trays - $35.00</t>
  </si>
  <si>
    <t>Adjustments</t>
  </si>
  <si>
    <t>Sub-total</t>
  </si>
  <si>
    <t>Sales Taxes</t>
  </si>
  <si>
    <t>Destination Fees</t>
  </si>
  <si>
    <t>Estimated Licensing Fees</t>
  </si>
  <si>
    <t>Total</t>
  </si>
  <si>
    <t>Average</t>
  </si>
  <si>
    <t>Total</t>
  </si>
</sst>
</file>

<file path=xl/styles.xml><?xml version="1.0" encoding="utf-8"?>
<styleSheet xmlns="http://schemas.openxmlformats.org/spreadsheetml/2006/main">
  <numFmts count="3">
    <numFmt formatCode="[&gt;0]_(&quot;$&quot;* #,##0_);[&lt;0]_(&quot;$&quot;* (#,##0);_(&quot;$&quot;* &quot;-&quot;#??_);_(@_)" numFmtId="164"/>
    <numFmt formatCode="[&gt;0]_(&quot;$&quot;* #,##0.00_);[&lt;0]_(&quot;$&quot;* (#,##0.00);_(&quot;$&quot;* &quot;-&quot;#??_);_(@_)" numFmtId="165"/>
    <numFmt formatCode="&quot;$&quot;#,##0.00" numFmtId="166"/>
  </numFmts>
  <fonts count="6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0"/>
      <name val="Roboto"/>
    </font>
    <font>
      <b/>
      <sz val="10"/>
      <color rgb="FFFFFFFF"/>
      <name val="Roboto"/>
    </font>
    <font>
      <b/>
      <sz val="10"/>
      <color rgb="FFFFFFFF"/>
      <name val="Roboto"/>
    </font>
  </fonts>
  <fills count="4">
    <fill>
      <patternFill patternType="none"/>
    </fill>
    <fill>
      <patternFill patternType="gray125"/>
    </fill>
    <fill>
      <patternFill patternType="solid">
        <fgColor rgb="FF2ECC71"/>
      </patternFill>
    </fill>
    <fill>
      <patternFill patternType="solid">
        <fgColor rgb="FF9B59B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40">
    <xf borderId="0" fillId="0" fontId="0" numFmtId="0" xfId="0">
      <alignment vertical="top"/>
    </xf>
    <xf borderId="0" fillId="0" fontId="1" numFmtId="0" xfId="0">
      <alignment vertical="top"/>
    </xf>
    <xf borderId="1" fillId="0" fontId="1" numFmtId="0" xfId="0">
      <alignment vertical="top"/>
    </xf>
    <xf borderId="2" fillId="0" fontId="1" numFmtId="0" xfId="0">
      <alignment vertical="top"/>
    </xf>
    <xf borderId="3" fillId="0" fontId="1" numFmtId="0" xfId="0">
      <alignment vertical="top"/>
    </xf>
    <xf borderId="4" fillId="0" fontId="1" numFmtId="0" xfId="0">
      <alignment vertical="top"/>
    </xf>
    <xf borderId="1" fillId="0" fontId="2" numFmtId="0" xfId="0">
      <alignment horizontal="center" vertical="top"/>
    </xf>
    <xf borderId="1" fillId="0" fontId="1" numFmtId="0" xfId="0">
      <alignment horizontal="center" vertical="top" wrapText="1"/>
    </xf>
    <xf borderId="1" fillId="2" fontId="1" numFmtId="0" xfId="0">
      <alignment horizontal="center" vertical="top" wrapText="1"/>
    </xf>
    <xf borderId="2" fillId="0" fontId="1" numFmtId="0" xfId="0">
      <alignment horizontal="center" vertical="top" wrapText="1"/>
    </xf>
    <xf borderId="1" fillId="0" fontId="1" numFmtId="0" xfId="0">
      <alignment horizontal="center" vertical="top"/>
    </xf>
    <xf borderId="2" fillId="0" fontId="1" numFmtId="0" xfId="0">
      <alignment horizontal="center" vertical="top"/>
    </xf>
    <xf borderId="0" fillId="0" fontId="3" numFmtId="0" xfId="0">
      <alignment vertical="top"/>
    </xf>
    <xf borderId="1" fillId="0" fontId="1" numFmtId="164" xfId="0">
      <alignment horizontal="center" vertical="top"/>
    </xf>
    <xf borderId="2" fillId="0" fontId="1" numFmtId="164" xfId="0">
      <alignment horizontal="center" vertical="top"/>
    </xf>
    <xf borderId="3" fillId="0" fontId="2" numFmtId="0" xfId="0">
      <alignment horizontal="center" vertical="top"/>
    </xf>
    <xf borderId="3" fillId="0" fontId="1" numFmtId="0" xfId="0">
      <alignment horizontal="center" vertical="top"/>
    </xf>
    <xf borderId="4" fillId="0" fontId="1" numFmtId="0" xfId="0">
      <alignment horizontal="center" vertical="top"/>
    </xf>
    <xf borderId="1" fillId="0" fontId="4" numFmtId="0" xfId="0">
      <alignment vertical="top"/>
    </xf>
    <xf borderId="1" fillId="0" fontId="5" numFmtId="0" xfId="0">
      <alignment vertical="top"/>
    </xf>
    <xf borderId="1" fillId="3" fontId="1" numFmtId="0" xfId="0">
      <alignment vertical="top"/>
    </xf>
    <xf borderId="2" fillId="3" fontId="1" numFmtId="0" xfId="0">
      <alignment vertical="top"/>
    </xf>
    <xf borderId="3" fillId="0" fontId="4" numFmtId="0" xfId="0">
      <alignment horizontal="right" vertical="top"/>
    </xf>
    <xf borderId="1" fillId="0" fontId="4" numFmtId="0" xfId="0">
      <alignment vertical="top" wrapText="1"/>
    </xf>
    <xf borderId="1" fillId="0" fontId="4" numFmtId="0" xfId="0">
      <alignment horizontal="right" vertical="top"/>
    </xf>
    <xf borderId="1" fillId="0" fontId="1" numFmtId="165" xfId="0">
      <alignment vertical="top"/>
    </xf>
    <xf borderId="1" fillId="0" fontId="1" numFmtId="166" xfId="0">
      <alignment vertical="top"/>
    </xf>
    <xf borderId="2" fillId="0" fontId="1" numFmtId="165" xfId="0">
      <alignment vertical="top"/>
    </xf>
    <xf borderId="3" fillId="0" fontId="4" numFmtId="0" xfId="0">
      <alignment vertical="top"/>
    </xf>
    <xf borderId="3" fillId="0" fontId="1" numFmtId="165" xfId="0">
      <alignment vertical="top"/>
    </xf>
    <xf borderId="3" fillId="0" fontId="1" numFmtId="166" xfId="0">
      <alignment vertical="top"/>
    </xf>
    <xf borderId="5" fillId="0" fontId="4" numFmtId="0" xfId="0">
      <alignment vertical="top"/>
    </xf>
    <xf borderId="5" fillId="0" fontId="1" numFmtId="165" xfId="0">
      <alignment vertical="top"/>
    </xf>
    <xf borderId="5" fillId="0" fontId="1" numFmtId="166" xfId="0">
      <alignment vertical="top"/>
    </xf>
    <xf borderId="6" fillId="0" fontId="1" numFmtId="165" xfId="0">
      <alignment vertical="top"/>
    </xf>
    <xf borderId="0" fillId="0" fontId="2" numFmtId="0" xfId="0">
      <alignment horizontal="right" vertical="top"/>
    </xf>
    <xf borderId="1" fillId="0" fontId="2" numFmtId="0" xfId="0">
      <alignment vertical="top"/>
    </xf>
    <xf borderId="2" fillId="0" fontId="2" numFmtId="166" xfId="0">
      <alignment vertical="top"/>
    </xf>
    <xf borderId="5" fillId="0" fontId="1" numFmtId="0" xfId="0">
      <alignment vertical="top"/>
    </xf>
    <xf borderId="6" fillId="0" fontId="1" numFmtId="0" xfId="0">
      <alignment vertical="top"/>
    </xf>
  </cellXfs>
  <cellStyles count="1">
    <cellStyle name="Normal" xfId="0" builtinId="0" customBuiltin="1"/>
  </cellStyles>
  <dxfs count="6">
    <dxf>
      <font>
        <color rgb="FFFFFFFF"/>
      </font>
      <fill>
        <patternFill patternType="solid">
          <bgColor rgb="FF3498DB"/>
        </patternFill>
      </fill>
    </dxf>
    <dxf>
      <font>
        <b/>
        <color rgb="FFFFFFFF"/>
      </font>
      <fill>
        <patternFill patternType="solid">
          <bgColor rgb="FF000000"/>
        </patternFill>
      </fill>
      <border>
        <left/>
        <right/>
        <top/>
        <bottom style="medium">
          <color rgb="FFFFFFFF"/>
        </bottom>
        <diagonal/>
        <vertical/>
        <horizontal/>
      </border>
    </dxf>
    <dxf>
      <font>
        <b/>
        <color rgb="FFFFFFFF"/>
      </font>
      <fill>
        <patternFill patternType="solid">
          <bgColor rgb="FF144D73"/>
        </patternFill>
      </fill>
      <border>
        <left/>
        <right/>
        <top style="medium">
          <color rgb="FFFFFFFF"/>
        </top>
        <bottom/>
        <diagonal/>
        <vertical/>
        <horizontal/>
      </border>
    </dxf>
    <dxf>
      <fill>
        <patternFill patternType="solid">
          <bgColor rgb="FF1F74AD"/>
        </patternFill>
      </fill>
    </dxf>
    <dxf>
      <font>
        <b/>
        <color rgb="FFFFFFFF"/>
      </font>
      <fill>
        <patternFill patternType="solid">
          <bgColor rgb="FF1F74AD"/>
        </patternFill>
      </fill>
      <border>
        <left/>
        <right style="medium">
          <color rgb="FFFFFFFF"/>
        </right>
        <top/>
        <bottom/>
        <diagonal/>
        <vertical/>
        <horizontal/>
      </border>
    </dxf>
    <dxf>
      <font>
        <b/>
        <color rgb="FFFFFFFF"/>
      </font>
      <fill>
        <patternFill patternType="solid">
          <bgColor rgb="FF1F74AD"/>
        </patternFill>
      </fill>
      <border>
        <left style="medium">
          <color rgb="FFFFFFFF"/>
        </left>
        <right/>
        <top/>
        <bottom/>
        <diagonal/>
        <vertical/>
        <horizontal/>
      </border>
    </dxf>
  </dxfs>
  <tableStyles count="2" defaultPivotStyle="PivotStyleLight16" defaultTableStyle="TableStyleMedium2">
    <tableStyle name="Table1 Style" pivot="0" count="7">
      <tableStyleElement type="wholeTable" dxfId="0"/>
      <tableStyleElement type="headerRow" dxfId="1"/>
      <tableStyleElement type="totalRow" dxfId="2"/>
      <tableStyleElement type="firstColumnStripe" dxfId="3"/>
      <tableStyleElement type="firstRowStripe" dxfId="3"/>
      <tableStyleElement type="firstColumn" dxfId="4"/>
      <tableStyleElement type="lastColumn" dxfId="5"/>
    </tableStyle>
    <tableStyle name="Table1 Style" pivot="0" count="7">
      <tableStyleElement type="wholeTable" dxfId="0"/>
      <tableStyleElement type="headerRow" dxfId="1"/>
      <tableStyleElement type="totalRow" dxfId="2"/>
      <tableStyleElement type="firstColumnStripe" dxfId="3"/>
      <tableStyleElement type="firstRowStripe" dxfId="3"/>
      <tableStyleElement type="firstColumn" dxfId="4"/>
      <tableStyleElement type="lastColumn" dxfId="5"/>
    </tableStyle>
  </tableStyles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tables/table1.xml><?xml version="1.0" encoding="utf-8"?>
<table xmlns="http://schemas.openxmlformats.org/spreadsheetml/2006/main" id="1" name="Table1" displayName="Table1" ref="A1:G81">
  <tableColumns count="7">
    <tableColumn id="1" name="Item" totalsRowLabel="Total"/>
    <tableColumn id="2" name="Loss Unit"/>
    <tableColumn id="3" name="Comp 1"/>
    <tableColumn id="4" name="Comp 2"/>
    <tableColumn id="5" name="Comp 3"/>
    <tableColumn id="6" name="Comp 4"/>
    <tableColumn id="7" name="Comp 5" totalsRowFunction="custom">
      <totalsRowFormula>SUBTOTAL(109,Table1[Comp 5])</totalsRowFormula>
    </tableColumn>
  </tableColumns>
  <tableStyleInfo name="Table1 Style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11" ref="A1:E82" totalsRowCount="1">
  <tableColumns count="5">
    <tableColumn id="1" name="Item"/>
    <tableColumn id="2" name="Loss Unit"/>
    <tableColumn id="3" name="Comp 1"/>
    <tableColumn id="4" name="Comp 2"/>
    <tableColumn id="5" name="Comp 3" totalsRowFunction="custom">
      <totalsRowFormula>AVERAGE(##REF!,##REF!,A#REF!)</totalsRowFormula>
    </tableColumn>
  </tableColumns>
  <tableStyleInfo name="Table1 Styl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Target="../tables/table1.xml" Id="rId1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Target="../tables/table2.xml" Id="rId1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81"/>
  <sheetViews>
    <sheetView workbookViewId="0"/>
  </sheetViews>
  <sheetFormatPr defaultRowHeight="14.0" customHeight="1"/>
  <cols>
    <col min="1" max="1" style="1" width="36.03"/>
    <col min="2" max="2" style="2" width="10.86"/>
    <col min="3" max="6" style="2" width="19.07"/>
    <col min="7" max="7" style="3" width="19.07"/>
    <col min="8" max="8" style="1" width="13.24"/>
    <col min="9" max="1025" width="13.24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>
      <c r="A2" s="6" t="s">
        <v>7</v>
      </c>
      <c r="B2" s="7" t="s">
        <v>8</v>
      </c>
      <c r="C2" s="8" t="s">
        <v>9</v>
      </c>
      <c r="D2" s="8" t="s">
        <v>10</v>
      </c>
      <c r="E2" s="7" t="s">
        <v>11</v>
      </c>
      <c r="F2" s="8" t="s">
        <v>12</v>
      </c>
      <c r="G2" s="9" t="s">
        <v>13</v>
      </c>
    </row>
    <row r="3" customFormat="1" s="12">
      <c r="A3" s="10" t="s">
        <v>14</v>
      </c>
      <c r="B3" s="10">
        <v>2021.0</v>
      </c>
      <c r="C3" s="10">
        <v>2021.0</v>
      </c>
      <c r="D3" s="10">
        <v>2021.0</v>
      </c>
      <c r="E3" s="10">
        <v>2021.0</v>
      </c>
      <c r="F3" s="10">
        <v>2021.0</v>
      </c>
      <c r="G3" s="11">
        <v>2021.0</v>
      </c>
    </row>
    <row r="4" customFormat="1" s="12">
      <c r="A4" s="10" t="s">
        <v>15</v>
      </c>
      <c r="B4" s="10"/>
      <c r="C4" s="10" t="s">
        <v>16</v>
      </c>
      <c r="D4" s="10" t="s">
        <v>17</v>
      </c>
      <c r="E4" s="10" t="s">
        <v>18</v>
      </c>
      <c r="F4" s="10" t="s">
        <v>19</v>
      </c>
      <c r="G4" s="11" t="s">
        <v>20</v>
      </c>
    </row>
    <row r="5" customFormat="1" s="12">
      <c r="A5" s="10" t="s">
        <v>21</v>
      </c>
      <c r="B5" s="10">
        <v>35000.0</v>
      </c>
      <c r="C5" s="10">
        <v>28884.0</v>
      </c>
      <c r="D5" s="10">
        <v>30607.0</v>
      </c>
      <c r="E5" s="10">
        <v>24236.0</v>
      </c>
      <c r="F5" s="10">
        <v>39616.0</v>
      </c>
      <c r="G5" s="11">
        <v>44188.0</v>
      </c>
    </row>
    <row r="6">
      <c r="A6" s="10" t="s">
        <v>22</v>
      </c>
      <c r="B6" s="10" t="s">
        <v>23</v>
      </c>
      <c r="C6" s="10" t="s">
        <v>24</v>
      </c>
      <c r="D6" s="10" t="s">
        <v>25</v>
      </c>
      <c r="E6" s="10" t="s">
        <v>25</v>
      </c>
      <c r="F6" s="10" t="s">
        <v>25</v>
      </c>
      <c r="G6" s="11" t="s">
        <v>26</v>
      </c>
    </row>
    <row r="7">
      <c r="A7" s="10" t="s">
        <v>27</v>
      </c>
      <c r="B7" s="10" t="s">
        <v>28</v>
      </c>
      <c r="C7" s="10" t="s">
        <v>28</v>
      </c>
      <c r="D7" s="10" t="s">
        <v>29</v>
      </c>
      <c r="E7" s="10" t="s">
        <v>29</v>
      </c>
      <c r="F7" s="10" t="s">
        <v>29</v>
      </c>
      <c r="G7" s="11" t="s">
        <v>30</v>
      </c>
    </row>
    <row r="8">
      <c r="A8" s="10" t="s">
        <v>31</v>
      </c>
      <c r="B8" s="10" t="s">
        <v>32</v>
      </c>
      <c r="C8" s="10" t="s">
        <v>32</v>
      </c>
      <c r="D8" s="10" t="s">
        <v>32</v>
      </c>
      <c r="E8" s="10" t="s">
        <v>32</v>
      </c>
      <c r="F8" s="10" t="s">
        <v>32</v>
      </c>
      <c r="G8" s="10" t="s">
        <v>32</v>
      </c>
    </row>
    <row r="9" customFormat="1" s="12">
      <c r="A9" s="10" t="s">
        <v>33</v>
      </c>
      <c r="B9" s="10" t="s">
        <v>34</v>
      </c>
      <c r="C9" s="10" t="s">
        <v>34</v>
      </c>
      <c r="D9" s="10" t="s">
        <v>34</v>
      </c>
      <c r="E9" s="10" t="s">
        <v>34</v>
      </c>
      <c r="F9" s="10" t="s">
        <v>34</v>
      </c>
      <c r="G9" s="10" t="s">
        <v>34</v>
      </c>
    </row>
    <row r="10" customFormat="1" s="12">
      <c r="A10" s="10" t="s">
        <v>35</v>
      </c>
      <c r="B10" s="10" t="s">
        <v>36</v>
      </c>
      <c r="C10" s="13">
        <v>31200.0</v>
      </c>
      <c r="D10" s="13">
        <v>35900.0</v>
      </c>
      <c r="E10" s="13">
        <v>33600.0</v>
      </c>
      <c r="F10" s="13">
        <v>34100.0</v>
      </c>
      <c r="G10" s="14">
        <v>37200.0</v>
      </c>
    </row>
    <row r="11" customFormat="1" s="12">
      <c r="A11" s="15" t="s">
        <v>37</v>
      </c>
      <c r="B11" s="16" t="s">
        <v>38</v>
      </c>
      <c r="C11" s="16" t="s">
        <v>39</v>
      </c>
      <c r="D11" s="16" t="s">
        <v>39</v>
      </c>
      <c r="E11" s="16" t="s">
        <v>39</v>
      </c>
      <c r="F11" s="16" t="s">
        <v>39</v>
      </c>
      <c r="G11" s="17" t="s">
        <v>40</v>
      </c>
    </row>
    <row r="12">
      <c r="A12" s="15" t="s">
        <v>41</v>
      </c>
      <c r="B12" s="16"/>
      <c r="C12" s="4"/>
      <c r="D12" s="4"/>
      <c r="E12" s="4"/>
      <c r="F12" s="4"/>
      <c r="G12" s="5"/>
    </row>
    <row r="13">
      <c r="A13" s="18" t="s">
        <v>42</v>
      </c>
      <c r="B13" s="2" t="b">
        <v>1</v>
      </c>
      <c r="C13" s="2" t="b">
        <v>1</v>
      </c>
      <c r="D13" s="2" t="b">
        <v>1</v>
      </c>
      <c r="E13" s="2" t="b">
        <v>1</v>
      </c>
      <c r="F13" s="2" t="b">
        <v>1</v>
      </c>
      <c r="G13" s="3" t="b">
        <v>1</v>
      </c>
    </row>
    <row r="14">
      <c r="A14" s="18" t="s">
        <v>43</v>
      </c>
      <c r="B14" s="2" t="b">
        <v>1</v>
      </c>
      <c r="C14" s="2" t="b">
        <v>1</v>
      </c>
      <c r="D14" s="2" t="b">
        <v>1</v>
      </c>
      <c r="E14" s="2" t="b">
        <v>1</v>
      </c>
      <c r="F14" s="2" t="b">
        <v>1</v>
      </c>
      <c r="G14" s="3" t="b">
        <v>1</v>
      </c>
    </row>
    <row r="15">
      <c r="A15" s="18" t="s">
        <v>44</v>
      </c>
      <c r="B15" s="2" t="b">
        <v>1</v>
      </c>
      <c r="C15" s="2" t="b">
        <v>1</v>
      </c>
      <c r="D15" s="2" t="b">
        <v>1</v>
      </c>
      <c r="E15" s="2" t="b">
        <v>1</v>
      </c>
      <c r="F15" s="2" t="b">
        <v>1</v>
      </c>
      <c r="G15" s="3" t="b">
        <v>1</v>
      </c>
    </row>
    <row r="16">
      <c r="A16" s="18" t="s">
        <v>45</v>
      </c>
      <c r="B16" s="2" t="b">
        <v>1</v>
      </c>
      <c r="C16" s="2" t="b">
        <v>1</v>
      </c>
      <c r="D16" s="2" t="b">
        <v>1</v>
      </c>
      <c r="E16" s="2" t="b">
        <v>1</v>
      </c>
      <c r="F16" s="2" t="b">
        <v>1</v>
      </c>
      <c r="G16" s="3" t="b">
        <v>1</v>
      </c>
    </row>
    <row r="17">
      <c r="A17" s="18" t="s">
        <v>46</v>
      </c>
      <c r="B17" s="2" t="b">
        <v>1</v>
      </c>
      <c r="C17" s="2" t="b">
        <v>1</v>
      </c>
      <c r="D17" s="2" t="b">
        <v>1</v>
      </c>
      <c r="E17" s="2" t="b">
        <v>1</v>
      </c>
      <c r="F17" s="2" t="b">
        <v>1</v>
      </c>
      <c r="G17" s="3" t="b">
        <v>1</v>
      </c>
    </row>
    <row r="18">
      <c r="A18" s="18" t="s">
        <v>47</v>
      </c>
      <c r="B18" s="2" t="b">
        <v>1</v>
      </c>
      <c r="C18" s="2" t="b">
        <v>1</v>
      </c>
      <c r="D18" s="2" t="b">
        <v>1</v>
      </c>
      <c r="E18" s="2" t="b">
        <v>1</v>
      </c>
      <c r="F18" s="2" t="b">
        <v>1</v>
      </c>
      <c r="G18" s="3" t="b">
        <v>1</v>
      </c>
    </row>
    <row r="19">
      <c r="A19" s="18" t="s">
        <v>48</v>
      </c>
      <c r="B19" s="2" t="b">
        <v>1</v>
      </c>
      <c r="C19" s="2" t="b">
        <v>1</v>
      </c>
      <c r="D19" s="2" t="b">
        <v>1</v>
      </c>
      <c r="E19" s="2" t="b">
        <v>1</v>
      </c>
      <c r="F19" s="2" t="b">
        <v>1</v>
      </c>
      <c r="G19" s="3" t="b">
        <v>1</v>
      </c>
    </row>
    <row r="20">
      <c r="A20" s="18" t="s">
        <v>49</v>
      </c>
      <c r="B20" s="2" t="b">
        <v>1</v>
      </c>
      <c r="C20" s="2" t="b">
        <v>1</v>
      </c>
      <c r="D20" s="2" t="b">
        <v>1</v>
      </c>
      <c r="E20" s="2" t="b">
        <v>1</v>
      </c>
      <c r="F20" s="2" t="b">
        <v>1</v>
      </c>
      <c r="G20" s="3" t="b">
        <v>1</v>
      </c>
    </row>
    <row r="21">
      <c r="A21" s="18" t="s">
        <v>50</v>
      </c>
      <c r="B21" s="2" t="b">
        <v>1</v>
      </c>
      <c r="C21" s="2" t="b">
        <v>1</v>
      </c>
      <c r="D21" s="2" t="b">
        <v>1</v>
      </c>
      <c r="E21" s="2" t="b">
        <v>1</v>
      </c>
      <c r="F21" s="2" t="b">
        <v>1</v>
      </c>
      <c r="G21" s="3" t="b">
        <v>1</v>
      </c>
    </row>
    <row r="22">
      <c r="A22" s="18" t="s">
        <v>51</v>
      </c>
      <c r="B22" s="2" t="b">
        <v>1</v>
      </c>
      <c r="C22" s="2" t="b">
        <v>1</v>
      </c>
      <c r="D22" s="2" t="b">
        <v>1</v>
      </c>
      <c r="E22" s="2" t="b">
        <v>1</v>
      </c>
      <c r="F22" s="2" t="b">
        <v>1</v>
      </c>
      <c r="G22" s="3" t="b">
        <v>1</v>
      </c>
    </row>
    <row r="23">
      <c r="A23" s="18" t="s">
        <v>52</v>
      </c>
      <c r="B23" s="2" t="b">
        <v>1</v>
      </c>
      <c r="C23" s="2" t="b">
        <v>1</v>
      </c>
      <c r="D23" s="2" t="b">
        <v>1</v>
      </c>
      <c r="E23" s="2" t="b">
        <v>1</v>
      </c>
      <c r="F23" s="2" t="b">
        <v>1</v>
      </c>
      <c r="G23" s="3" t="b">
        <v>1</v>
      </c>
    </row>
    <row r="24">
      <c r="A24" s="18" t="s">
        <v>53</v>
      </c>
      <c r="B24" s="2" t="b">
        <v>1</v>
      </c>
      <c r="C24" s="2" t="b">
        <v>1</v>
      </c>
      <c r="D24" s="2" t="b">
        <v>1</v>
      </c>
      <c r="E24" s="2" t="b">
        <v>1</v>
      </c>
      <c r="F24" s="2" t="b">
        <v>1</v>
      </c>
      <c r="G24" s="3" t="b">
        <v>1</v>
      </c>
    </row>
    <row r="25">
      <c r="A25" s="18" t="s">
        <v>54</v>
      </c>
      <c r="B25" s="2" t="b">
        <v>1</v>
      </c>
      <c r="C25" s="2" t="b">
        <v>1</v>
      </c>
      <c r="D25" s="2" t="b">
        <v>1</v>
      </c>
      <c r="E25" s="2" t="b">
        <v>1</v>
      </c>
      <c r="F25" s="2" t="b">
        <v>1</v>
      </c>
      <c r="G25" s="3" t="b">
        <v>1</v>
      </c>
    </row>
    <row r="26">
      <c r="A26" s="18" t="s">
        <v>55</v>
      </c>
      <c r="B26" s="2" t="b">
        <v>1</v>
      </c>
      <c r="C26" s="2" t="b">
        <v>1</v>
      </c>
      <c r="D26" s="2" t="b">
        <v>1</v>
      </c>
      <c r="E26" s="2" t="b">
        <v>1</v>
      </c>
      <c r="F26" s="2" t="b">
        <v>1</v>
      </c>
      <c r="G26" s="3" t="b">
        <v>1</v>
      </c>
    </row>
    <row r="27">
      <c r="A27" s="19" t="s">
        <v>56</v>
      </c>
      <c r="B27" s="2" t="b">
        <v>1</v>
      </c>
      <c r="C27" s="2" t="b">
        <v>1</v>
      </c>
      <c r="D27" s="2" t="b">
        <v>1</v>
      </c>
      <c r="E27" s="2" t="b">
        <v>1</v>
      </c>
      <c r="F27" s="2" t="b">
        <v>1</v>
      </c>
      <c r="G27" s="3" t="b">
        <v>1</v>
      </c>
    </row>
    <row r="28">
      <c r="A28" s="19" t="s">
        <v>57</v>
      </c>
      <c r="B28" s="2" t="b">
        <v>1</v>
      </c>
      <c r="C28" s="2" t="b">
        <v>1</v>
      </c>
      <c r="D28" s="2" t="b">
        <v>1</v>
      </c>
      <c r="E28" s="2" t="b">
        <v>1</v>
      </c>
      <c r="F28" s="2" t="b">
        <v>1</v>
      </c>
      <c r="G28" s="3" t="b">
        <v>1</v>
      </c>
    </row>
    <row r="29">
      <c r="A29" s="19" t="s">
        <v>58</v>
      </c>
      <c r="B29" s="2" t="b">
        <v>1</v>
      </c>
      <c r="C29" s="2" t="b">
        <v>1</v>
      </c>
      <c r="D29" s="2" t="b">
        <v>1</v>
      </c>
      <c r="E29" s="2" t="b">
        <v>1</v>
      </c>
      <c r="F29" s="2" t="b">
        <v>1</v>
      </c>
      <c r="G29" s="3" t="b">
        <v>1</v>
      </c>
    </row>
    <row r="30">
      <c r="A30" s="19" t="s">
        <v>59</v>
      </c>
      <c r="B30" s="2" t="b">
        <v>1</v>
      </c>
      <c r="C30" s="2" t="b">
        <v>1</v>
      </c>
      <c r="D30" s="2" t="b">
        <v>1</v>
      </c>
      <c r="E30" s="2" t="b">
        <v>1</v>
      </c>
      <c r="F30" s="2" t="b">
        <v>1</v>
      </c>
      <c r="G30" s="3" t="b">
        <v>1</v>
      </c>
    </row>
    <row r="31">
      <c r="A31" s="18" t="s">
        <v>60</v>
      </c>
      <c r="B31" s="2" t="b">
        <v>1</v>
      </c>
      <c r="C31" s="2" t="b">
        <v>1</v>
      </c>
      <c r="D31" s="2" t="b">
        <v>1</v>
      </c>
      <c r="E31" s="2" t="b">
        <v>1</v>
      </c>
      <c r="F31" s="2" t="b">
        <v>1</v>
      </c>
      <c r="G31" s="3" t="b">
        <v>1</v>
      </c>
    </row>
    <row r="32">
      <c r="A32" s="18" t="s">
        <v>61</v>
      </c>
      <c r="B32" s="2" t="b">
        <v>1</v>
      </c>
      <c r="C32" s="2" t="b">
        <v>1</v>
      </c>
      <c r="D32" s="2" t="b">
        <v>1</v>
      </c>
      <c r="E32" s="2" t="b">
        <v>1</v>
      </c>
      <c r="F32" s="2" t="b">
        <v>1</v>
      </c>
      <c r="G32" s="3" t="b">
        <v>1</v>
      </c>
    </row>
    <row r="33">
      <c r="A33" s="18" t="s">
        <v>62</v>
      </c>
      <c r="B33" s="2" t="b">
        <v>1</v>
      </c>
      <c r="C33" s="2" t="b">
        <v>1</v>
      </c>
      <c r="D33" s="2" t="b">
        <v>1</v>
      </c>
      <c r="E33" s="2" t="b">
        <v>1</v>
      </c>
      <c r="F33" s="2" t="b">
        <v>1</v>
      </c>
      <c r="G33" s="3" t="b">
        <v>1</v>
      </c>
    </row>
    <row r="34">
      <c r="A34" s="18" t="s">
        <v>63</v>
      </c>
      <c r="B34" s="2" t="b">
        <v>1</v>
      </c>
      <c r="C34" s="2" t="b">
        <v>1</v>
      </c>
      <c r="D34" s="2" t="b">
        <v>1</v>
      </c>
      <c r="E34" s="2" t="b">
        <v>1</v>
      </c>
      <c r="F34" s="2" t="b">
        <v>1</v>
      </c>
      <c r="G34" s="3" t="b">
        <v>1</v>
      </c>
    </row>
    <row r="35">
      <c r="A35" s="18" t="s">
        <v>64</v>
      </c>
      <c r="B35" s="2" t="b">
        <v>1</v>
      </c>
      <c r="C35" s="2" t="b">
        <v>1</v>
      </c>
      <c r="D35" s="2" t="b">
        <v>1</v>
      </c>
      <c r="E35" s="2" t="b">
        <v>1</v>
      </c>
      <c r="F35" s="2" t="b">
        <v>1</v>
      </c>
      <c r="G35" s="3" t="b">
        <v>1</v>
      </c>
    </row>
    <row r="36">
      <c r="A36" s="18" t="s">
        <v>65</v>
      </c>
      <c r="B36" s="20" t="b">
        <v>1</v>
      </c>
      <c r="C36" s="20" t="b">
        <v>1</v>
      </c>
      <c r="D36" s="20" t="b">
        <v>1</v>
      </c>
      <c r="E36" s="20" t="b">
        <v>1</v>
      </c>
      <c r="F36" s="20" t="b">
        <v>1</v>
      </c>
      <c r="G36" s="21" t="b">
        <v>1</v>
      </c>
    </row>
    <row r="37">
      <c r="A37" s="18" t="s">
        <v>66</v>
      </c>
      <c r="B37" s="2" t="b">
        <v>1</v>
      </c>
      <c r="C37" s="2" t="b">
        <v>1</v>
      </c>
      <c r="D37" s="2" t="b">
        <v>1</v>
      </c>
      <c r="E37" s="2" t="b">
        <v>1</v>
      </c>
      <c r="F37" s="2" t="b">
        <v>1</v>
      </c>
      <c r="G37" s="3" t="b">
        <v>1</v>
      </c>
    </row>
    <row r="38">
      <c r="A38" s="18" t="s">
        <v>67</v>
      </c>
      <c r="B38" s="2" t="b">
        <v>1</v>
      </c>
      <c r="C38" s="2" t="b">
        <v>1</v>
      </c>
      <c r="D38" s="2" t="b">
        <v>1</v>
      </c>
      <c r="E38" s="2" t="b">
        <v>1</v>
      </c>
      <c r="F38" s="2" t="b">
        <v>1</v>
      </c>
      <c r="G38" s="3" t="b">
        <v>1</v>
      </c>
    </row>
    <row r="39">
      <c r="A39" s="18" t="s">
        <v>68</v>
      </c>
      <c r="B39" s="2" t="b">
        <v>1</v>
      </c>
      <c r="C39" s="2" t="b">
        <v>1</v>
      </c>
      <c r="D39" s="2" t="b">
        <v>1</v>
      </c>
      <c r="E39" s="2" t="b">
        <v>1</v>
      </c>
      <c r="F39" s="2" t="b">
        <v>1</v>
      </c>
      <c r="G39" s="3" t="b">
        <v>1</v>
      </c>
    </row>
    <row r="40">
      <c r="A40" s="18" t="s">
        <v>69</v>
      </c>
      <c r="B40" s="2" t="b">
        <v>1</v>
      </c>
      <c r="C40" s="2" t="b">
        <v>1</v>
      </c>
      <c r="D40" s="2" t="b">
        <v>1</v>
      </c>
      <c r="E40" s="2" t="b">
        <v>1</v>
      </c>
      <c r="F40" s="2" t="b">
        <v>1</v>
      </c>
      <c r="G40" s="3" t="b">
        <v>1</v>
      </c>
    </row>
    <row r="41">
      <c r="A41" s="18" t="s">
        <v>70</v>
      </c>
      <c r="B41" s="2" t="b">
        <v>1</v>
      </c>
      <c r="C41" s="2" t="b">
        <v>1</v>
      </c>
      <c r="D41" s="2" t="b">
        <v>1</v>
      </c>
      <c r="E41" s="2" t="b">
        <v>1</v>
      </c>
      <c r="F41" s="2" t="b">
        <v>1</v>
      </c>
      <c r="G41" s="3" t="b">
        <v>1</v>
      </c>
    </row>
    <row r="42">
      <c r="A42" s="18" t="s">
        <v>71</v>
      </c>
      <c r="B42" s="2" t="b">
        <v>1</v>
      </c>
      <c r="C42" s="2" t="b">
        <v>1</v>
      </c>
      <c r="D42" s="2" t="b">
        <v>1</v>
      </c>
      <c r="E42" s="2" t="b">
        <v>1</v>
      </c>
      <c r="F42" s="2" t="b">
        <v>1</v>
      </c>
      <c r="G42" s="3" t="b">
        <v>1</v>
      </c>
    </row>
    <row r="43">
      <c r="A43" s="18" t="s">
        <v>72</v>
      </c>
      <c r="B43" s="2" t="b">
        <v>1</v>
      </c>
      <c r="C43" s="2" t="b">
        <v>1</v>
      </c>
      <c r="D43" s="2" t="b">
        <v>1</v>
      </c>
      <c r="E43" s="2" t="b">
        <v>1</v>
      </c>
      <c r="F43" s="2" t="b">
        <v>1</v>
      </c>
      <c r="G43" s="3" t="b">
        <v>1</v>
      </c>
    </row>
    <row r="44">
      <c r="A44" s="18" t="s">
        <v>73</v>
      </c>
      <c r="B44" s="2" t="b">
        <v>1</v>
      </c>
      <c r="C44" s="2" t="b">
        <v>1</v>
      </c>
      <c r="D44" s="2" t="b">
        <v>1</v>
      </c>
      <c r="E44" s="2" t="b">
        <v>1</v>
      </c>
      <c r="F44" s="2" t="b">
        <v>1</v>
      </c>
      <c r="G44" s="3" t="b">
        <v>1</v>
      </c>
    </row>
    <row r="45">
      <c r="A45" s="18" t="s">
        <v>74</v>
      </c>
      <c r="B45" s="2" t="b">
        <v>1</v>
      </c>
      <c r="C45" s="2" t="b">
        <v>1</v>
      </c>
      <c r="D45" s="2" t="b">
        <v>1</v>
      </c>
      <c r="E45" s="2" t="b">
        <v>1</v>
      </c>
      <c r="F45" s="2" t="b">
        <v>1</v>
      </c>
      <c r="G45" s="3" t="b">
        <v>1</v>
      </c>
    </row>
    <row r="46">
      <c r="A46" s="18" t="s">
        <v>75</v>
      </c>
      <c r="B46" s="2" t="b">
        <v>1</v>
      </c>
      <c r="C46" s="2" t="b">
        <v>1</v>
      </c>
      <c r="D46" s="2" t="b">
        <v>1</v>
      </c>
      <c r="E46" s="2" t="b">
        <v>1</v>
      </c>
      <c r="F46" s="2" t="b">
        <v>1</v>
      </c>
      <c r="G46" s="3" t="b">
        <v>1</v>
      </c>
    </row>
    <row r="47">
      <c r="A47" s="18" t="s">
        <v>76</v>
      </c>
      <c r="B47" s="2" t="b">
        <v>1</v>
      </c>
      <c r="C47" s="2" t="b">
        <v>1</v>
      </c>
      <c r="D47" s="2" t="b">
        <v>1</v>
      </c>
      <c r="E47" s="2" t="b">
        <v>1</v>
      </c>
      <c r="F47" s="2" t="b">
        <v>1</v>
      </c>
      <c r="G47" s="3" t="b">
        <v>1</v>
      </c>
    </row>
    <row r="48">
      <c r="A48" s="18" t="s">
        <v>77</v>
      </c>
      <c r="B48" s="2" t="b">
        <v>1</v>
      </c>
      <c r="C48" s="2" t="b">
        <v>1</v>
      </c>
      <c r="D48" s="2" t="b">
        <v>1</v>
      </c>
      <c r="E48" s="2" t="b">
        <v>1</v>
      </c>
      <c r="F48" s="2" t="b">
        <v>1</v>
      </c>
      <c r="G48" s="3" t="b">
        <v>1</v>
      </c>
    </row>
    <row r="49">
      <c r="A49" s="18" t="s">
        <v>78</v>
      </c>
      <c r="B49" s="2" t="b">
        <v>1</v>
      </c>
      <c r="C49" s="2" t="b">
        <v>1</v>
      </c>
      <c r="D49" s="2" t="b">
        <v>1</v>
      </c>
      <c r="E49" s="2" t="b">
        <v>1</v>
      </c>
      <c r="F49" s="2" t="b">
        <v>1</v>
      </c>
      <c r="G49" s="3" t="b">
        <v>1</v>
      </c>
    </row>
    <row r="50">
      <c r="A50" s="18" t="s">
        <v>79</v>
      </c>
      <c r="B50" s="2" t="b">
        <v>1</v>
      </c>
      <c r="C50" s="2" t="b">
        <v>1</v>
      </c>
      <c r="D50" s="2" t="b">
        <v>1</v>
      </c>
      <c r="E50" s="2" t="b">
        <v>1</v>
      </c>
      <c r="F50" s="2" t="b">
        <v>1</v>
      </c>
      <c r="G50" s="3" t="b">
        <v>1</v>
      </c>
    </row>
    <row r="51">
      <c r="A51" s="18" t="s">
        <v>80</v>
      </c>
      <c r="B51" s="2" t="b">
        <v>1</v>
      </c>
      <c r="C51" s="2" t="b">
        <v>1</v>
      </c>
      <c r="D51" s="2" t="b">
        <v>1</v>
      </c>
      <c r="E51" s="2" t="b">
        <v>1</v>
      </c>
      <c r="F51" s="2" t="b">
        <v>1</v>
      </c>
      <c r="G51" s="3" t="b">
        <v>1</v>
      </c>
    </row>
    <row r="52">
      <c r="A52" s="18" t="s">
        <v>81</v>
      </c>
      <c r="B52" s="2" t="b">
        <v>1</v>
      </c>
      <c r="C52" s="2" t="b">
        <v>1</v>
      </c>
      <c r="D52" s="2" t="b">
        <v>1</v>
      </c>
      <c r="E52" s="2" t="b">
        <v>1</v>
      </c>
      <c r="F52" s="2" t="b">
        <v>1</v>
      </c>
      <c r="G52" s="3" t="b">
        <v>1</v>
      </c>
    </row>
    <row r="53">
      <c r="A53" s="18" t="s">
        <v>82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3" t="b">
        <v>1</v>
      </c>
    </row>
    <row r="54">
      <c r="A54" s="18" t="s">
        <v>83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3" t="b">
        <v>1</v>
      </c>
    </row>
    <row r="55">
      <c r="A55" s="18" t="s">
        <v>84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3" t="b">
        <v>1</v>
      </c>
    </row>
    <row r="56">
      <c r="A56" s="18" t="s">
        <v>85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3" t="b">
        <v>1</v>
      </c>
    </row>
    <row r="57">
      <c r="A57" s="18" t="s">
        <v>86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3" t="b">
        <v>1</v>
      </c>
    </row>
    <row r="58">
      <c r="A58" s="18" t="s">
        <v>87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3" t="b">
        <v>1</v>
      </c>
    </row>
    <row r="59">
      <c r="A59" s="18" t="s">
        <v>88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3" t="b">
        <v>1</v>
      </c>
    </row>
    <row r="60">
      <c r="A60" s="18" t="s">
        <v>89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3" t="b">
        <v>1</v>
      </c>
    </row>
    <row r="61">
      <c r="A61" s="18" t="s">
        <v>90</v>
      </c>
      <c r="B61" s="2" t="b">
        <v>1</v>
      </c>
      <c r="C61" s="2" t="b">
        <v>1</v>
      </c>
      <c r="D61" s="2" t="b">
        <v>1</v>
      </c>
      <c r="E61" s="2" t="b">
        <v>1</v>
      </c>
      <c r="F61" s="2" t="b">
        <v>1</v>
      </c>
      <c r="G61" s="3" t="b">
        <v>1</v>
      </c>
    </row>
    <row r="62">
      <c r="A62" s="18" t="s">
        <v>91</v>
      </c>
      <c r="B62" s="2" t="b">
        <v>1</v>
      </c>
      <c r="C62" s="2" t="b">
        <v>1</v>
      </c>
      <c r="D62" s="2" t="b">
        <v>1</v>
      </c>
      <c r="E62" s="2" t="b">
        <v>1</v>
      </c>
      <c r="F62" s="2" t="b">
        <v>1</v>
      </c>
      <c r="G62" s="3" t="b">
        <v>1</v>
      </c>
    </row>
    <row r="63">
      <c r="A63" s="18" t="s">
        <v>92</v>
      </c>
      <c r="B63" s="2" t="b">
        <v>1</v>
      </c>
      <c r="C63" s="2" t="b">
        <v>1</v>
      </c>
      <c r="D63" s="2" t="b">
        <v>1</v>
      </c>
      <c r="E63" s="2" t="b">
        <v>1</v>
      </c>
      <c r="F63" s="2" t="b">
        <v>1</v>
      </c>
      <c r="G63" s="3" t="b">
        <v>1</v>
      </c>
    </row>
    <row r="64">
      <c r="A64" s="18" t="s">
        <v>93</v>
      </c>
      <c r="B64" s="2" t="b">
        <v>1</v>
      </c>
      <c r="C64" s="2" t="b">
        <v>1</v>
      </c>
      <c r="D64" s="2" t="b">
        <v>1</v>
      </c>
      <c r="E64" s="2" t="b">
        <v>1</v>
      </c>
      <c r="F64" s="2" t="b">
        <v>1</v>
      </c>
      <c r="G64" s="3" t="b">
        <v>1</v>
      </c>
    </row>
    <row r="65">
      <c r="A65" s="18" t="s">
        <v>94</v>
      </c>
      <c r="B65" s="2" t="b">
        <v>1</v>
      </c>
      <c r="C65" s="2" t="b">
        <v>0</v>
      </c>
      <c r="D65" s="2" t="b">
        <v>0</v>
      </c>
      <c r="E65" s="2" t="b">
        <v>0</v>
      </c>
      <c r="F65" s="2" t="b">
        <v>0</v>
      </c>
      <c r="G65" s="3" t="b">
        <v>0</v>
      </c>
    </row>
    <row r="66">
      <c r="A66" s="18" t="s">
        <v>95</v>
      </c>
      <c r="B66" s="2" t="b">
        <v>1</v>
      </c>
      <c r="C66" s="2" t="b">
        <v>1</v>
      </c>
      <c r="D66" s="2" t="b">
        <v>1</v>
      </c>
      <c r="E66" s="2" t="b">
        <v>1</v>
      </c>
      <c r="F66" s="2" t="b">
        <v>1</v>
      </c>
      <c r="G66" s="3" t="b">
        <v>1</v>
      </c>
    </row>
    <row r="67">
      <c r="A67" s="18" t="s">
        <v>96</v>
      </c>
      <c r="B67" s="2" t="b">
        <v>1</v>
      </c>
      <c r="C67" s="2" t="b">
        <v>1</v>
      </c>
      <c r="D67" s="2" t="b">
        <v>1</v>
      </c>
      <c r="E67" s="2" t="b">
        <v>1</v>
      </c>
      <c r="F67" s="2" t="b">
        <v>1</v>
      </c>
      <c r="G67" s="3" t="b">
        <v>1</v>
      </c>
    </row>
    <row r="68">
      <c r="A68" s="18" t="s">
        <v>97</v>
      </c>
      <c r="B68" s="2" t="b">
        <v>1</v>
      </c>
      <c r="C68" s="2" t="b">
        <v>1</v>
      </c>
      <c r="D68" s="2" t="b">
        <v>1</v>
      </c>
      <c r="E68" s="2" t="b">
        <v>1</v>
      </c>
      <c r="F68" s="2" t="b">
        <v>1</v>
      </c>
      <c r="G68" s="3" t="b">
        <v>1</v>
      </c>
    </row>
    <row r="69">
      <c r="A69" s="22" t="s">
        <v>98</v>
      </c>
      <c r="B69" s="4"/>
      <c r="C69" s="4"/>
      <c r="D69" s="4"/>
      <c r="E69" s="4"/>
      <c r="F69" s="4"/>
      <c r="G69" s="5"/>
    </row>
    <row r="70" customFormat="1" s="12">
      <c r="A70" s="18" t="s">
        <v>99</v>
      </c>
      <c r="B70" s="4" t="b">
        <v>1</v>
      </c>
      <c r="C70" s="4" t="b">
        <v>0</v>
      </c>
      <c r="D70" s="4" t="b">
        <v>0</v>
      </c>
      <c r="E70" s="4" t="b">
        <v>0</v>
      </c>
      <c r="F70" s="4" t="b">
        <v>0</v>
      </c>
      <c r="G70" s="5" t="b">
        <v>0</v>
      </c>
    </row>
    <row r="71" customFormat="1" s="12">
      <c r="A71" s="18" t="s">
        <v>100</v>
      </c>
      <c r="B71" s="4" t="b">
        <v>1</v>
      </c>
      <c r="C71" s="4" t="b">
        <v>1</v>
      </c>
      <c r="D71" s="4" t="b">
        <v>1</v>
      </c>
      <c r="E71" s="4" t="b">
        <v>1</v>
      </c>
      <c r="F71" s="4" t="b">
        <v>1</v>
      </c>
      <c r="G71" s="5" t="b">
        <v>1</v>
      </c>
    </row>
    <row r="72" customFormat="1" s="12">
      <c r="A72" s="18" t="s">
        <v>101</v>
      </c>
      <c r="B72" s="4" t="b">
        <v>1</v>
      </c>
      <c r="C72" s="4" t="b">
        <v>1</v>
      </c>
      <c r="D72" s="4" t="b">
        <v>1</v>
      </c>
      <c r="E72" s="4" t="b">
        <v>1</v>
      </c>
      <c r="F72" s="4" t="b">
        <v>1</v>
      </c>
      <c r="G72" s="5" t="b">
        <v>1</v>
      </c>
    </row>
    <row r="73" ht="27.0" customFormat="1" s="12">
      <c r="A73" s="23" t="s">
        <v>102</v>
      </c>
      <c r="B73" s="4" t="b">
        <v>1</v>
      </c>
      <c r="C73" s="4" t="b">
        <v>0</v>
      </c>
      <c r="D73" s="4" t="b">
        <v>0</v>
      </c>
      <c r="E73" s="4" t="b">
        <v>0</v>
      </c>
      <c r="F73" s="4" t="b">
        <v>0</v>
      </c>
      <c r="G73" s="5" t="b">
        <v>0</v>
      </c>
      <c r="H73" s="1"/>
    </row>
    <row r="74" customFormat="1" s="12">
      <c r="A74" s="23" t="s">
        <v>103</v>
      </c>
      <c r="B74" s="4" t="b">
        <v>1</v>
      </c>
      <c r="C74" s="4" t="b">
        <v>1</v>
      </c>
      <c r="D74" s="4" t="b">
        <v>1</v>
      </c>
      <c r="E74" s="4" t="b">
        <v>1</v>
      </c>
      <c r="F74" s="4" t="b">
        <v>1</v>
      </c>
      <c r="G74" s="5" t="b">
        <v>1</v>
      </c>
      <c r="H74" s="1"/>
    </row>
    <row r="75" customFormat="1" s="12">
      <c r="A75" s="24" t="s">
        <v>104</v>
      </c>
      <c r="B75" s="25">
        <v>0.0</v>
      </c>
      <c r="C75" s="26">
        <v>8900.0</v>
      </c>
      <c r="D75" s="25">
        <v>8900.0</v>
      </c>
      <c r="E75" s="25">
        <v>8900.0</v>
      </c>
      <c r="F75" s="25">
        <v>8900.0</v>
      </c>
      <c r="G75" s="27">
        <v>900.0</v>
      </c>
      <c r="H75" s="1"/>
    </row>
    <row r="76" customFormat="1" s="12">
      <c r="A76" s="28" t="s">
        <v>105</v>
      </c>
      <c r="B76" s="29">
        <f>SUM(B10,B75)</f>
        <v>0.0</v>
      </c>
      <c r="C76" s="30">
        <f>SUM(C10,C75)</f>
        <v>40100.0</v>
      </c>
      <c r="D76" s="29">
        <f>SUM(D10,D75)</f>
        <v>44800.0</v>
      </c>
      <c r="E76" s="29">
        <f>SUM(E10,E75)</f>
        <v>42500.0</v>
      </c>
      <c r="F76" s="29">
        <f>SUM(F10,F75)</f>
        <v>43000.0</v>
      </c>
      <c r="G76" s="29">
        <f>SUM(G10,G75)</f>
        <v>38100.0</v>
      </c>
    </row>
    <row r="77" customFormat="1" s="12">
      <c r="A77" s="28" t="s">
        <v>106</v>
      </c>
      <c r="B77" s="29">
        <f>B76*0.07</f>
        <v>0.0</v>
      </c>
      <c r="C77" s="30">
        <f>C76*0.07</f>
        <v>2807.0</v>
      </c>
      <c r="D77" s="29">
        <f>D76*0.07</f>
        <v>3136.0</v>
      </c>
      <c r="E77" s="29">
        <f>E76*0.07</f>
        <v>2975.0</v>
      </c>
      <c r="F77" s="29">
        <f>F76*0.07</f>
        <v>3010.0</v>
      </c>
      <c r="G77" s="29">
        <f>G76*0.07</f>
        <v>2667.0</v>
      </c>
    </row>
    <row r="78">
      <c r="A78" s="31" t="s">
        <v>107</v>
      </c>
      <c r="B78" s="32">
        <v>0.0</v>
      </c>
      <c r="C78" s="33">
        <v>1390.0</v>
      </c>
      <c r="D78" s="32">
        <v>500.0</v>
      </c>
      <c r="E78" s="32">
        <v>500.0</v>
      </c>
      <c r="F78" s="32">
        <v>500.0</v>
      </c>
      <c r="G78" s="34">
        <v>500.0</v>
      </c>
    </row>
    <row r="79">
      <c r="A79" s="1" t="s">
        <v>108</v>
      </c>
      <c r="B79" s="25">
        <v>0.0</v>
      </c>
      <c r="C79" s="26">
        <v>800.0</v>
      </c>
      <c r="D79" s="26">
        <v>800.0</v>
      </c>
      <c r="E79" s="25">
        <v>800.0</v>
      </c>
      <c r="F79" s="25">
        <v>800.0</v>
      </c>
      <c r="G79" s="27">
        <v>800.0</v>
      </c>
    </row>
    <row r="80">
      <c r="A80" s="35" t="s">
        <v>109</v>
      </c>
      <c r="B80" s="25"/>
      <c r="C80" s="2">
        <v>55402.3</v>
      </c>
      <c r="D80" s="25">
        <f>SUM(D79,D78,D77,D76)</f>
        <v>49236.0</v>
      </c>
      <c r="E80" s="25">
        <f>SUM(E79,E78,E77,E76)</f>
        <v>46775.0</v>
      </c>
      <c r="F80" s="25">
        <f>SUM(F79,F78,F77,F76)</f>
        <v>47310.0</v>
      </c>
      <c r="G80" s="25">
        <f>SUM(G79,G78,G77,G76)</f>
        <v>42067.0</v>
      </c>
    </row>
    <row r="81">
      <c r="F81" s="36" t="s">
        <v>110</v>
      </c>
      <c r="G81" s="37">
        <v>47634.26</v>
      </c>
    </row>
    <row r="83">
      <c r="B83" s="38"/>
      <c r="C83" s="38"/>
      <c r="D83" s="38"/>
      <c r="E83" s="38"/>
      <c r="F83" s="38"/>
      <c r="G83" s="39"/>
    </row>
  </sheetData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82"/>
  <sheetViews>
    <sheetView workbookViewId="0"/>
  </sheetViews>
  <sheetFormatPr defaultRowHeight="14.0" customHeight="1"/>
  <cols>
    <col min="1" max="1" style="1" width="36.03"/>
    <col min="2" max="2" style="2" width="10.86"/>
    <col min="3" max="5" style="2" width="19.07"/>
    <col min="6" max="6" style="1" width="13.24"/>
    <col min="7" max="1023" width="13.24"/>
  </cols>
  <sheetData>
    <row r="1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</row>
    <row r="2">
      <c r="A2" s="6" t="s">
        <v>116</v>
      </c>
      <c r="B2" s="7" t="s">
        <v>117</v>
      </c>
      <c r="C2" s="8" t="s">
        <v>118</v>
      </c>
      <c r="D2" s="8" t="s">
        <v>119</v>
      </c>
      <c r="E2" s="8" t="s">
        <v>120</v>
      </c>
    </row>
    <row r="3">
      <c r="A3" s="10" t="s">
        <v>121</v>
      </c>
      <c r="B3" s="10">
        <v>2021.0</v>
      </c>
      <c r="C3" s="10">
        <v>2021.0</v>
      </c>
      <c r="D3" s="10">
        <v>2021.0</v>
      </c>
      <c r="E3" s="10">
        <v>2021.0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</row>
    <row r="4">
      <c r="A4" s="10" t="s">
        <v>122</v>
      </c>
      <c r="B4" s="10"/>
      <c r="C4" s="10" t="s">
        <v>123</v>
      </c>
      <c r="D4" s="10" t="s">
        <v>124</v>
      </c>
      <c r="E4" s="10" t="s">
        <v>125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</row>
    <row r="5">
      <c r="A5" s="10" t="s">
        <v>126</v>
      </c>
      <c r="B5" s="10">
        <v>35000.0</v>
      </c>
      <c r="C5" s="10">
        <v>28884.0</v>
      </c>
      <c r="D5" s="10">
        <v>30607.0</v>
      </c>
      <c r="E5" s="10">
        <v>39616.0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</row>
    <row r="6">
      <c r="A6" s="10" t="s">
        <v>127</v>
      </c>
      <c r="B6" s="10" t="s">
        <v>128</v>
      </c>
      <c r="C6" s="10" t="s">
        <v>129</v>
      </c>
      <c r="D6" s="10" t="s">
        <v>130</v>
      </c>
      <c r="E6" s="10" t="s">
        <v>131</v>
      </c>
    </row>
    <row r="7">
      <c r="A7" s="10" t="s">
        <v>132</v>
      </c>
      <c r="B7" s="10" t="s">
        <v>133</v>
      </c>
      <c r="C7" s="10" t="s">
        <v>133</v>
      </c>
      <c r="D7" s="10" t="s">
        <v>134</v>
      </c>
      <c r="E7" s="10" t="s">
        <v>135</v>
      </c>
    </row>
    <row r="8">
      <c r="A8" s="10" t="s">
        <v>136</v>
      </c>
      <c r="B8" s="10" t="s">
        <v>137</v>
      </c>
      <c r="C8" s="10" t="s">
        <v>137</v>
      </c>
      <c r="D8" s="10" t="s">
        <v>137</v>
      </c>
      <c r="E8" s="10" t="s">
        <v>138</v>
      </c>
    </row>
    <row r="9">
      <c r="A9" s="10" t="s">
        <v>139</v>
      </c>
      <c r="B9" s="10" t="s">
        <v>140</v>
      </c>
      <c r="C9" s="10" t="s">
        <v>140</v>
      </c>
      <c r="D9" s="10" t="s">
        <v>140</v>
      </c>
      <c r="E9" s="10" t="s">
        <v>141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</row>
    <row r="10">
      <c r="A10" s="10" t="s">
        <v>142</v>
      </c>
      <c r="B10" s="10" t="s">
        <v>143</v>
      </c>
      <c r="C10" s="13">
        <v>31200.0</v>
      </c>
      <c r="D10" s="13">
        <v>35900.0</v>
      </c>
      <c r="E10" s="13">
        <v>34100.0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</row>
    <row r="11">
      <c r="A11" s="15" t="s">
        <v>144</v>
      </c>
      <c r="B11" s="16" t="s">
        <v>145</v>
      </c>
      <c r="C11" s="16" t="s">
        <v>146</v>
      </c>
      <c r="D11" s="16" t="s">
        <v>146</v>
      </c>
      <c r="E11" s="16" t="s">
        <v>147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</row>
    <row r="12">
      <c r="A12" s="15" t="s">
        <v>148</v>
      </c>
      <c r="B12" s="16"/>
      <c r="C12" s="4"/>
      <c r="D12" s="4"/>
      <c r="E12" s="4"/>
    </row>
    <row r="13">
      <c r="A13" s="18" t="s">
        <v>149</v>
      </c>
      <c r="B13" s="2" t="b">
        <v>1</v>
      </c>
      <c r="C13" s="2" t="b">
        <v>1</v>
      </c>
      <c r="D13" s="2" t="b">
        <v>1</v>
      </c>
      <c r="E13" s="2" t="b">
        <v>1</v>
      </c>
    </row>
    <row r="14">
      <c r="A14" s="18" t="s">
        <v>150</v>
      </c>
      <c r="B14" s="2" t="b">
        <v>1</v>
      </c>
      <c r="C14" s="2" t="b">
        <v>1</v>
      </c>
      <c r="D14" s="2" t="b">
        <v>1</v>
      </c>
      <c r="E14" s="2" t="b">
        <v>1</v>
      </c>
    </row>
    <row r="15">
      <c r="A15" s="18" t="s">
        <v>151</v>
      </c>
      <c r="B15" s="2" t="b">
        <v>1</v>
      </c>
      <c r="C15" s="2" t="b">
        <v>1</v>
      </c>
      <c r="D15" s="2" t="b">
        <v>1</v>
      </c>
      <c r="E15" s="2" t="b">
        <v>1</v>
      </c>
    </row>
    <row r="16">
      <c r="A16" s="18" t="s">
        <v>152</v>
      </c>
      <c r="B16" s="2" t="b">
        <v>1</v>
      </c>
      <c r="C16" s="2" t="b">
        <v>1</v>
      </c>
      <c r="D16" s="2" t="b">
        <v>1</v>
      </c>
      <c r="E16" s="2" t="b">
        <v>1</v>
      </c>
    </row>
    <row r="17">
      <c r="A17" s="18" t="s">
        <v>153</v>
      </c>
      <c r="B17" s="2" t="b">
        <v>1</v>
      </c>
      <c r="C17" s="2" t="b">
        <v>1</v>
      </c>
      <c r="D17" s="2" t="b">
        <v>1</v>
      </c>
      <c r="E17" s="2" t="b">
        <v>1</v>
      </c>
    </row>
    <row r="18">
      <c r="A18" s="18" t="s">
        <v>154</v>
      </c>
      <c r="B18" s="2" t="b">
        <v>1</v>
      </c>
      <c r="C18" s="2" t="b">
        <v>1</v>
      </c>
      <c r="D18" s="2" t="b">
        <v>1</v>
      </c>
      <c r="E18" s="2" t="b">
        <v>1</v>
      </c>
    </row>
    <row r="19">
      <c r="A19" s="18" t="s">
        <v>155</v>
      </c>
      <c r="B19" s="2" t="b">
        <v>1</v>
      </c>
      <c r="C19" s="2" t="b">
        <v>1</v>
      </c>
      <c r="D19" s="2" t="b">
        <v>1</v>
      </c>
      <c r="E19" s="2" t="b">
        <v>1</v>
      </c>
    </row>
    <row r="20">
      <c r="A20" s="18" t="s">
        <v>156</v>
      </c>
      <c r="B20" s="2" t="b">
        <v>1</v>
      </c>
      <c r="C20" s="2" t="b">
        <v>1</v>
      </c>
      <c r="D20" s="2" t="b">
        <v>1</v>
      </c>
      <c r="E20" s="2" t="b">
        <v>1</v>
      </c>
    </row>
    <row r="21">
      <c r="A21" s="18" t="s">
        <v>157</v>
      </c>
      <c r="B21" s="2" t="b">
        <v>1</v>
      </c>
      <c r="C21" s="2" t="b">
        <v>1</v>
      </c>
      <c r="D21" s="2" t="b">
        <v>1</v>
      </c>
      <c r="E21" s="2" t="b">
        <v>1</v>
      </c>
    </row>
    <row r="22">
      <c r="A22" s="18" t="s">
        <v>158</v>
      </c>
      <c r="B22" s="2" t="b">
        <v>1</v>
      </c>
      <c r="C22" s="2" t="b">
        <v>1</v>
      </c>
      <c r="D22" s="2" t="b">
        <v>1</v>
      </c>
      <c r="E22" s="2" t="b">
        <v>1</v>
      </c>
    </row>
    <row r="23">
      <c r="A23" s="18" t="s">
        <v>159</v>
      </c>
      <c r="B23" s="2" t="b">
        <v>1</v>
      </c>
      <c r="C23" s="2" t="b">
        <v>1</v>
      </c>
      <c r="D23" s="2" t="b">
        <v>1</v>
      </c>
      <c r="E23" s="2" t="b">
        <v>1</v>
      </c>
    </row>
    <row r="24">
      <c r="A24" s="18" t="s">
        <v>160</v>
      </c>
      <c r="B24" s="2" t="b">
        <v>1</v>
      </c>
      <c r="C24" s="2" t="b">
        <v>1</v>
      </c>
      <c r="D24" s="2" t="b">
        <v>1</v>
      </c>
      <c r="E24" s="2" t="b">
        <v>1</v>
      </c>
    </row>
    <row r="25">
      <c r="A25" s="18" t="s">
        <v>161</v>
      </c>
      <c r="B25" s="2" t="b">
        <v>1</v>
      </c>
      <c r="C25" s="2" t="b">
        <v>1</v>
      </c>
      <c r="D25" s="2" t="b">
        <v>1</v>
      </c>
      <c r="E25" s="2" t="b">
        <v>1</v>
      </c>
    </row>
    <row r="26">
      <c r="A26" s="18" t="s">
        <v>162</v>
      </c>
      <c r="B26" s="2" t="b">
        <v>1</v>
      </c>
      <c r="C26" s="2" t="b">
        <v>1</v>
      </c>
      <c r="D26" s="2" t="b">
        <v>1</v>
      </c>
      <c r="E26" s="2" t="b">
        <v>1</v>
      </c>
    </row>
    <row r="27">
      <c r="A27" s="19" t="s">
        <v>163</v>
      </c>
      <c r="B27" s="2" t="b">
        <v>1</v>
      </c>
      <c r="C27" s="2" t="b">
        <v>1</v>
      </c>
      <c r="D27" s="2" t="b">
        <v>1</v>
      </c>
      <c r="E27" s="2" t="b">
        <v>1</v>
      </c>
    </row>
    <row r="28">
      <c r="A28" s="19" t="s">
        <v>164</v>
      </c>
      <c r="B28" s="2" t="b">
        <v>1</v>
      </c>
      <c r="C28" s="2" t="b">
        <v>1</v>
      </c>
      <c r="D28" s="2" t="b">
        <v>1</v>
      </c>
      <c r="E28" s="2" t="b">
        <v>1</v>
      </c>
    </row>
    <row r="29">
      <c r="A29" s="19" t="s">
        <v>165</v>
      </c>
      <c r="B29" s="2" t="b">
        <v>1</v>
      </c>
      <c r="C29" s="2" t="b">
        <v>1</v>
      </c>
      <c r="D29" s="2" t="b">
        <v>1</v>
      </c>
      <c r="E29" s="2" t="b">
        <v>1</v>
      </c>
    </row>
    <row r="30">
      <c r="A30" s="19" t="s">
        <v>166</v>
      </c>
      <c r="B30" s="2" t="b">
        <v>1</v>
      </c>
      <c r="C30" s="2" t="b">
        <v>1</v>
      </c>
      <c r="D30" s="2" t="b">
        <v>1</v>
      </c>
      <c r="E30" s="2" t="b">
        <v>1</v>
      </c>
    </row>
    <row r="31">
      <c r="A31" s="18" t="s">
        <v>167</v>
      </c>
      <c r="B31" s="2" t="b">
        <v>1</v>
      </c>
      <c r="C31" s="2" t="b">
        <v>1</v>
      </c>
      <c r="D31" s="2" t="b">
        <v>1</v>
      </c>
      <c r="E31" s="2" t="b">
        <v>1</v>
      </c>
    </row>
    <row r="32">
      <c r="A32" s="18" t="s">
        <v>168</v>
      </c>
      <c r="B32" s="2" t="b">
        <v>1</v>
      </c>
      <c r="C32" s="2" t="b">
        <v>1</v>
      </c>
      <c r="D32" s="2" t="b">
        <v>1</v>
      </c>
      <c r="E32" s="2" t="b">
        <v>1</v>
      </c>
    </row>
    <row r="33">
      <c r="A33" s="18" t="s">
        <v>169</v>
      </c>
      <c r="B33" s="2" t="b">
        <v>1</v>
      </c>
      <c r="C33" s="2" t="b">
        <v>1</v>
      </c>
      <c r="D33" s="2" t="b">
        <v>1</v>
      </c>
      <c r="E33" s="2" t="b">
        <v>1</v>
      </c>
    </row>
    <row r="34">
      <c r="A34" s="18" t="s">
        <v>170</v>
      </c>
      <c r="B34" s="2" t="b">
        <v>1</v>
      </c>
      <c r="C34" s="2" t="b">
        <v>1</v>
      </c>
      <c r="D34" s="2" t="b">
        <v>1</v>
      </c>
      <c r="E34" s="2" t="b">
        <v>1</v>
      </c>
    </row>
    <row r="35">
      <c r="A35" s="18" t="s">
        <v>171</v>
      </c>
      <c r="B35" s="2" t="b">
        <v>1</v>
      </c>
      <c r="C35" s="2" t="b">
        <v>1</v>
      </c>
      <c r="D35" s="2" t="b">
        <v>1</v>
      </c>
      <c r="E35" s="2" t="b">
        <v>1</v>
      </c>
    </row>
    <row r="36">
      <c r="A36" s="18" t="s">
        <v>172</v>
      </c>
      <c r="B36" s="20" t="b">
        <v>1</v>
      </c>
      <c r="C36" s="20" t="b">
        <v>1</v>
      </c>
      <c r="D36" s="20" t="b">
        <v>1</v>
      </c>
      <c r="E36" s="20" t="b">
        <v>1</v>
      </c>
    </row>
    <row r="37">
      <c r="A37" s="18" t="s">
        <v>173</v>
      </c>
      <c r="B37" s="2" t="b">
        <v>1</v>
      </c>
      <c r="C37" s="2" t="b">
        <v>1</v>
      </c>
      <c r="D37" s="2" t="b">
        <v>1</v>
      </c>
      <c r="E37" s="2" t="b">
        <v>1</v>
      </c>
    </row>
    <row r="38">
      <c r="A38" s="18" t="s">
        <v>174</v>
      </c>
      <c r="B38" s="2" t="b">
        <v>1</v>
      </c>
      <c r="C38" s="2" t="b">
        <v>1</v>
      </c>
      <c r="D38" s="2" t="b">
        <v>1</v>
      </c>
      <c r="E38" s="2" t="b">
        <v>1</v>
      </c>
    </row>
    <row r="39">
      <c r="A39" s="18" t="s">
        <v>175</v>
      </c>
      <c r="B39" s="2" t="b">
        <v>1</v>
      </c>
      <c r="C39" s="2" t="b">
        <v>1</v>
      </c>
      <c r="D39" s="2" t="b">
        <v>1</v>
      </c>
      <c r="E39" s="2" t="b">
        <v>1</v>
      </c>
    </row>
    <row r="40">
      <c r="A40" s="18" t="s">
        <v>176</v>
      </c>
      <c r="B40" s="2" t="b">
        <v>1</v>
      </c>
      <c r="C40" s="2" t="b">
        <v>1</v>
      </c>
      <c r="D40" s="2" t="b">
        <v>1</v>
      </c>
      <c r="E40" s="2" t="b">
        <v>1</v>
      </c>
    </row>
    <row r="41">
      <c r="A41" s="18" t="s">
        <v>177</v>
      </c>
      <c r="B41" s="2" t="b">
        <v>1</v>
      </c>
      <c r="C41" s="2" t="b">
        <v>1</v>
      </c>
      <c r="D41" s="2" t="b">
        <v>1</v>
      </c>
      <c r="E41" s="2" t="b">
        <v>1</v>
      </c>
    </row>
    <row r="42">
      <c r="A42" s="18" t="s">
        <v>178</v>
      </c>
      <c r="B42" s="2" t="b">
        <v>1</v>
      </c>
      <c r="C42" s="2" t="b">
        <v>1</v>
      </c>
      <c r="D42" s="2" t="b">
        <v>1</v>
      </c>
      <c r="E42" s="2" t="b">
        <v>1</v>
      </c>
    </row>
    <row r="43">
      <c r="A43" s="18" t="s">
        <v>179</v>
      </c>
      <c r="B43" s="2" t="b">
        <v>1</v>
      </c>
      <c r="C43" s="2" t="b">
        <v>1</v>
      </c>
      <c r="D43" s="2" t="b">
        <v>1</v>
      </c>
      <c r="E43" s="2" t="b">
        <v>1</v>
      </c>
    </row>
    <row r="44">
      <c r="A44" s="18" t="s">
        <v>180</v>
      </c>
      <c r="B44" s="2" t="b">
        <v>1</v>
      </c>
      <c r="C44" s="2" t="b">
        <v>1</v>
      </c>
      <c r="D44" s="2" t="b">
        <v>1</v>
      </c>
      <c r="E44" s="2" t="b">
        <v>1</v>
      </c>
    </row>
    <row r="45">
      <c r="A45" s="18" t="s">
        <v>181</v>
      </c>
      <c r="B45" s="2" t="b">
        <v>1</v>
      </c>
      <c r="C45" s="2" t="b">
        <v>1</v>
      </c>
      <c r="D45" s="2" t="b">
        <v>1</v>
      </c>
      <c r="E45" s="2" t="b">
        <v>1</v>
      </c>
    </row>
    <row r="46">
      <c r="A46" s="18" t="s">
        <v>182</v>
      </c>
      <c r="B46" s="2" t="b">
        <v>1</v>
      </c>
      <c r="C46" s="2" t="b">
        <v>1</v>
      </c>
      <c r="D46" s="2" t="b">
        <v>1</v>
      </c>
      <c r="E46" s="2" t="b">
        <v>1</v>
      </c>
    </row>
    <row r="47">
      <c r="A47" s="18" t="s">
        <v>183</v>
      </c>
      <c r="B47" s="2" t="b">
        <v>1</v>
      </c>
      <c r="C47" s="2" t="b">
        <v>1</v>
      </c>
      <c r="D47" s="2" t="b">
        <v>1</v>
      </c>
      <c r="E47" s="2" t="b">
        <v>1</v>
      </c>
    </row>
    <row r="48">
      <c r="A48" s="18" t="s">
        <v>184</v>
      </c>
      <c r="B48" s="2" t="b">
        <v>1</v>
      </c>
      <c r="C48" s="2" t="b">
        <v>1</v>
      </c>
      <c r="D48" s="2" t="b">
        <v>1</v>
      </c>
      <c r="E48" s="2" t="b">
        <v>1</v>
      </c>
    </row>
    <row r="49">
      <c r="A49" s="18" t="s">
        <v>185</v>
      </c>
      <c r="B49" s="2" t="b">
        <v>1</v>
      </c>
      <c r="C49" s="2" t="b">
        <v>1</v>
      </c>
      <c r="D49" s="2" t="b">
        <v>1</v>
      </c>
      <c r="E49" s="2" t="b">
        <v>1</v>
      </c>
    </row>
    <row r="50">
      <c r="A50" s="18" t="s">
        <v>186</v>
      </c>
      <c r="B50" s="2" t="b">
        <v>1</v>
      </c>
      <c r="C50" s="2" t="b">
        <v>1</v>
      </c>
      <c r="D50" s="2" t="b">
        <v>1</v>
      </c>
      <c r="E50" s="2" t="b">
        <v>1</v>
      </c>
    </row>
    <row r="51">
      <c r="A51" s="18" t="s">
        <v>187</v>
      </c>
      <c r="B51" s="2" t="b">
        <v>1</v>
      </c>
      <c r="C51" s="2" t="b">
        <v>1</v>
      </c>
      <c r="D51" s="2" t="b">
        <v>1</v>
      </c>
      <c r="E51" s="2" t="b">
        <v>1</v>
      </c>
    </row>
    <row r="52">
      <c r="A52" s="18" t="s">
        <v>188</v>
      </c>
      <c r="B52" s="2" t="b">
        <v>1</v>
      </c>
      <c r="C52" s="2" t="b">
        <v>1</v>
      </c>
      <c r="D52" s="2" t="b">
        <v>1</v>
      </c>
      <c r="E52" s="2" t="b">
        <v>1</v>
      </c>
    </row>
    <row r="53">
      <c r="A53" s="18" t="s">
        <v>189</v>
      </c>
      <c r="B53" s="2" t="b">
        <v>1</v>
      </c>
      <c r="C53" s="2" t="b">
        <v>1</v>
      </c>
      <c r="D53" s="2" t="b">
        <v>1</v>
      </c>
      <c r="E53" s="2" t="b">
        <v>1</v>
      </c>
    </row>
    <row r="54">
      <c r="A54" s="18" t="s">
        <v>190</v>
      </c>
      <c r="B54" s="2" t="b">
        <v>1</v>
      </c>
      <c r="C54" s="2" t="b">
        <v>1</v>
      </c>
      <c r="D54" s="2" t="b">
        <v>1</v>
      </c>
      <c r="E54" s="2" t="b">
        <v>1</v>
      </c>
    </row>
    <row r="55">
      <c r="A55" s="18" t="s">
        <v>191</v>
      </c>
      <c r="B55" s="2" t="b">
        <v>1</v>
      </c>
      <c r="C55" s="2" t="b">
        <v>1</v>
      </c>
      <c r="D55" s="2" t="b">
        <v>1</v>
      </c>
      <c r="E55" s="2" t="b">
        <v>1</v>
      </c>
    </row>
    <row r="56">
      <c r="A56" s="18" t="s">
        <v>192</v>
      </c>
      <c r="B56" s="2" t="b">
        <v>1</v>
      </c>
      <c r="C56" s="2" t="b">
        <v>1</v>
      </c>
      <c r="D56" s="2" t="b">
        <v>1</v>
      </c>
      <c r="E56" s="2" t="b">
        <v>1</v>
      </c>
    </row>
    <row r="57">
      <c r="A57" s="18" t="s">
        <v>193</v>
      </c>
      <c r="B57" s="2" t="b">
        <v>1</v>
      </c>
      <c r="C57" s="2" t="b">
        <v>1</v>
      </c>
      <c r="D57" s="2" t="b">
        <v>1</v>
      </c>
      <c r="E57" s="2" t="b">
        <v>1</v>
      </c>
    </row>
    <row r="58">
      <c r="A58" s="18" t="s">
        <v>194</v>
      </c>
      <c r="B58" s="2" t="b">
        <v>1</v>
      </c>
      <c r="C58" s="2" t="b">
        <v>1</v>
      </c>
      <c r="D58" s="2" t="b">
        <v>1</v>
      </c>
      <c r="E58" s="2" t="b">
        <v>1</v>
      </c>
    </row>
    <row r="59">
      <c r="A59" s="18" t="s">
        <v>195</v>
      </c>
      <c r="B59" s="2" t="b">
        <v>1</v>
      </c>
      <c r="C59" s="2" t="b">
        <v>1</v>
      </c>
      <c r="D59" s="2" t="b">
        <v>1</v>
      </c>
      <c r="E59" s="2" t="b">
        <v>1</v>
      </c>
    </row>
    <row r="60">
      <c r="A60" s="18" t="s">
        <v>196</v>
      </c>
      <c r="B60" s="2" t="b">
        <v>1</v>
      </c>
      <c r="C60" s="2" t="b">
        <v>1</v>
      </c>
      <c r="D60" s="2" t="b">
        <v>1</v>
      </c>
      <c r="E60" s="2" t="b">
        <v>1</v>
      </c>
    </row>
    <row r="61">
      <c r="A61" s="18" t="s">
        <v>197</v>
      </c>
      <c r="B61" s="2" t="b">
        <v>1</v>
      </c>
      <c r="C61" s="2" t="b">
        <v>1</v>
      </c>
      <c r="D61" s="2" t="b">
        <v>1</v>
      </c>
      <c r="E61" s="2" t="b">
        <v>1</v>
      </c>
    </row>
    <row r="62">
      <c r="A62" s="18" t="s">
        <v>198</v>
      </c>
      <c r="B62" s="2" t="b">
        <v>1</v>
      </c>
      <c r="C62" s="2" t="b">
        <v>1</v>
      </c>
      <c r="D62" s="2" t="b">
        <v>1</v>
      </c>
      <c r="E62" s="2" t="b">
        <v>1</v>
      </c>
    </row>
    <row r="63">
      <c r="A63" s="18" t="s">
        <v>199</v>
      </c>
      <c r="B63" s="2" t="b">
        <v>1</v>
      </c>
      <c r="C63" s="2" t="b">
        <v>1</v>
      </c>
      <c r="D63" s="2" t="b">
        <v>1</v>
      </c>
      <c r="E63" s="2" t="b">
        <v>1</v>
      </c>
    </row>
    <row r="64">
      <c r="A64" s="18" t="s">
        <v>200</v>
      </c>
      <c r="B64" s="2" t="b">
        <v>1</v>
      </c>
      <c r="C64" s="2" t="b">
        <v>1</v>
      </c>
      <c r="D64" s="2" t="b">
        <v>1</v>
      </c>
      <c r="E64" s="2" t="b">
        <v>1</v>
      </c>
    </row>
    <row r="65">
      <c r="A65" s="18" t="s">
        <v>201</v>
      </c>
      <c r="B65" s="2" t="b">
        <v>1</v>
      </c>
      <c r="C65" s="2" t="b">
        <v>0</v>
      </c>
      <c r="D65" s="2" t="b">
        <v>0</v>
      </c>
      <c r="E65" s="2" t="b">
        <v>0</v>
      </c>
    </row>
    <row r="66">
      <c r="A66" s="18" t="s">
        <v>202</v>
      </c>
      <c r="B66" s="2" t="b">
        <v>1</v>
      </c>
      <c r="C66" s="2" t="b">
        <v>1</v>
      </c>
      <c r="D66" s="2" t="b">
        <v>1</v>
      </c>
      <c r="E66" s="2" t="b">
        <v>1</v>
      </c>
    </row>
    <row r="67">
      <c r="A67" s="18" t="s">
        <v>203</v>
      </c>
      <c r="B67" s="2" t="b">
        <v>1</v>
      </c>
      <c r="C67" s="2" t="b">
        <v>1</v>
      </c>
      <c r="D67" s="2" t="b">
        <v>1</v>
      </c>
      <c r="E67" s="2" t="b">
        <v>1</v>
      </c>
    </row>
    <row r="68">
      <c r="A68" s="18" t="s">
        <v>204</v>
      </c>
      <c r="B68" s="2" t="b">
        <v>1</v>
      </c>
      <c r="C68" s="2" t="b">
        <v>1</v>
      </c>
      <c r="D68" s="2" t="b">
        <v>1</v>
      </c>
      <c r="E68" s="2" t="b">
        <v>1</v>
      </c>
    </row>
    <row r="69">
      <c r="A69" s="22" t="s">
        <v>205</v>
      </c>
      <c r="B69" s="4"/>
      <c r="C69" s="4"/>
      <c r="D69" s="4"/>
      <c r="E69" s="4"/>
    </row>
    <row r="70">
      <c r="A70" s="18" t="s">
        <v>206</v>
      </c>
      <c r="B70" s="4" t="b">
        <v>1</v>
      </c>
      <c r="C70" s="4" t="b">
        <v>0</v>
      </c>
      <c r="D70" s="4" t="b">
        <v>0</v>
      </c>
      <c r="E70" s="4" t="b">
        <v>0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</row>
    <row r="71">
      <c r="A71" s="18" t="s">
        <v>207</v>
      </c>
      <c r="B71" s="4" t="b">
        <v>1</v>
      </c>
      <c r="C71" s="4" t="b">
        <v>1</v>
      </c>
      <c r="D71" s="4" t="b">
        <v>1</v>
      </c>
      <c r="E71" s="4" t="b">
        <v>1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</row>
    <row r="72">
      <c r="A72" s="18" t="s">
        <v>208</v>
      </c>
      <c r="B72" s="4" t="b">
        <v>1</v>
      </c>
      <c r="C72" s="4" t="b">
        <v>1</v>
      </c>
      <c r="D72" s="4" t="b">
        <v>1</v>
      </c>
      <c r="E72" s="4" t="b">
        <v>1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</row>
    <row r="73" ht="27.0">
      <c r="A73" s="23" t="s">
        <v>209</v>
      </c>
      <c r="B73" s="4" t="b">
        <v>1</v>
      </c>
      <c r="C73" s="4" t="b">
        <v>0</v>
      </c>
      <c r="D73" s="4" t="b">
        <v>0</v>
      </c>
      <c r="E73" s="4" t="b">
        <v>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</row>
    <row r="74">
      <c r="A74" s="23" t="s">
        <v>210</v>
      </c>
      <c r="B74" s="4" t="b">
        <v>1</v>
      </c>
      <c r="C74" s="4" t="b">
        <v>1</v>
      </c>
      <c r="D74" s="4" t="b">
        <v>1</v>
      </c>
      <c r="E74" s="4" t="b">
        <v>1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</row>
    <row r="75">
      <c r="A75" s="24" t="s">
        <v>211</v>
      </c>
      <c r="B75" s="25">
        <v>0.0</v>
      </c>
      <c r="C75" s="26">
        <v>8900.0</v>
      </c>
      <c r="D75" s="25">
        <v>8900.0</v>
      </c>
      <c r="E75" s="25">
        <v>8900.0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</row>
    <row r="76">
      <c r="A76" s="28" t="s">
        <v>212</v>
      </c>
      <c r="B76" s="29">
        <f>SUM(B10,B75)</f>
        <v>0.0</v>
      </c>
      <c r="C76" s="30">
        <f>SUM(C10,C75)</f>
        <v>40100.0</v>
      </c>
      <c r="D76" s="29">
        <f>SUM(D10,D75)</f>
        <v>44800.0</v>
      </c>
      <c r="E76" s="29">
        <f>SUM(E10,E75)</f>
        <v>43000.0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</row>
    <row r="77">
      <c r="A77" s="28" t="s">
        <v>213</v>
      </c>
      <c r="B77" s="29">
        <f>B76*0.07</f>
        <v>0.0</v>
      </c>
      <c r="C77" s="30">
        <f>C76*0.07</f>
        <v>2807.0</v>
      </c>
      <c r="D77" s="29">
        <f>D76*0.07</f>
        <v>3136.0</v>
      </c>
      <c r="E77" s="29">
        <f>E76*0.07</f>
        <v>3010.0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</row>
    <row r="78">
      <c r="A78" s="31" t="s">
        <v>214</v>
      </c>
      <c r="B78" s="32">
        <v>0.0</v>
      </c>
      <c r="C78" s="33">
        <v>1390.0</v>
      </c>
      <c r="D78" s="32">
        <v>500.0</v>
      </c>
      <c r="E78" s="32">
        <v>500.0</v>
      </c>
    </row>
    <row r="79">
      <c r="A79" s="1" t="s">
        <v>215</v>
      </c>
      <c r="B79" s="25">
        <v>0.0</v>
      </c>
      <c r="C79" s="26">
        <v>800.0</v>
      </c>
      <c r="D79" s="26">
        <v>800.0</v>
      </c>
      <c r="E79" s="25">
        <v>800.0</v>
      </c>
    </row>
    <row r="80">
      <c r="A80" s="35" t="s">
        <v>216</v>
      </c>
      <c r="B80" s="25"/>
      <c r="C80" s="2">
        <v>55402.3</v>
      </c>
      <c r="D80" s="25">
        <f>SUM(D79,D78,D77,D76)</f>
        <v>49236.0</v>
      </c>
      <c r="E80" s="25">
        <f>SUM(E79,E78,E77,E76)</f>
        <v>47310.0</v>
      </c>
    </row>
    <row r="81">
      <c r="E81" s="36" t="s">
        <v>217</v>
      </c>
    </row>
    <row r="82">
      <c r="A82" s="1" t="s">
        <v>218</v>
      </c>
      <c r="E82" s="25">
        <f>AVERAGE(C80,D80,E80)</f>
        <v>50649.4333333333</v>
      </c>
    </row>
    <row r="83">
      <c r="B83" s="38"/>
      <c r="C83" s="38"/>
      <c r="D83" s="38"/>
      <c r="E83" s="38"/>
    </row>
  </sheetData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2024-10-16T17:39:37Z</dcterms:created>
</cp:coreProperties>
</file>