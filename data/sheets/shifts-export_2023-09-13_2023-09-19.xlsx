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y Folders\Payroll\20230913-0919\"/>
    </mc:Choice>
  </mc:AlternateContent>
  <xr:revisionPtr revIDLastSave="0" documentId="13_ncr:40009_{D3F995B0-78CD-41C7-B51E-CEB8DB423F7A}" xr6:coauthVersionLast="45" xr6:coauthVersionMax="45" xr10:uidLastSave="{00000000-0000-0000-0000-000000000000}"/>
  <bookViews>
    <workbookView xWindow="44520" yWindow="-14760" windowWidth="15300" windowHeight="10830"/>
  </bookViews>
  <sheets>
    <sheet name="Sheet1" sheetId="2" r:id="rId1"/>
    <sheet name="shifts-export_2023-09-13_2023-0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B17" i="2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2" i="1"/>
</calcChain>
</file>

<file path=xl/sharedStrings.xml><?xml version="1.0" encoding="utf-8"?>
<sst xmlns="http://schemas.openxmlformats.org/spreadsheetml/2006/main" count="155" uniqueCount="82">
  <si>
    <t>First name</t>
  </si>
  <si>
    <t>Last name</t>
  </si>
  <si>
    <t>Job title</t>
  </si>
  <si>
    <t>Location</t>
  </si>
  <si>
    <t>Clockin date</t>
  </si>
  <si>
    <t>Clockin time</t>
  </si>
  <si>
    <t>Clockout date</t>
  </si>
  <si>
    <t>Clockout time</t>
  </si>
  <si>
    <t>Break start date</t>
  </si>
  <si>
    <t>Break start time</t>
  </si>
  <si>
    <t>Break end date</t>
  </si>
  <si>
    <t>Break end time</t>
  </si>
  <si>
    <t>Unpaid break</t>
  </si>
  <si>
    <t>Paid break</t>
  </si>
  <si>
    <t>Regular hours</t>
  </si>
  <si>
    <t>Total paid hours</t>
  </si>
  <si>
    <t>Regular labor cost</t>
  </si>
  <si>
    <t>Total labor cost</t>
  </si>
  <si>
    <t>Transaction tips</t>
  </si>
  <si>
    <t>Cody</t>
  </si>
  <si>
    <t>Rice-Velasquez</t>
  </si>
  <si>
    <t>Miembro del equipo</t>
  </si>
  <si>
    <t>SRVTM.Pro</t>
  </si>
  <si>
    <t>6:05:00 PM EDT</t>
  </si>
  <si>
    <t>11:04:00 AM EDT</t>
  </si>
  <si>
    <t>12:42:00 PM EDT</t>
  </si>
  <si>
    <t>4:42:00 AM EDT</t>
  </si>
  <si>
    <t>1:00:00 PM EDT</t>
  </si>
  <si>
    <t>2:00:00 PM EDT</t>
  </si>
  <si>
    <t>10:55:00 AM EDT</t>
  </si>
  <si>
    <t>8:30:00 PM EDT</t>
  </si>
  <si>
    <t>11:00:00 PM EDT</t>
  </si>
  <si>
    <t>5:00:00 AM EDT</t>
  </si>
  <si>
    <t>10:28:00 AM EDT</t>
  </si>
  <si>
    <t>2:30:00 AM EDT</t>
  </si>
  <si>
    <t>12:51:05 PM EDT</t>
  </si>
  <si>
    <t>2:51:05 AM EDT</t>
  </si>
  <si>
    <t>1:15:55 PM EDT</t>
  </si>
  <si>
    <t>3:51:55 AM EDT</t>
  </si>
  <si>
    <t>3:00:32 PM EDT</t>
  </si>
  <si>
    <t>4:00:32 AM EDT</t>
  </si>
  <si>
    <t>4:00:00 PM EDT</t>
  </si>
  <si>
    <t>5:00:00 PM EDT</t>
  </si>
  <si>
    <t>KAILEY</t>
  </si>
  <si>
    <t>Lechuga</t>
  </si>
  <si>
    <t>RECEPTIONIST</t>
  </si>
  <si>
    <t>10:00:13 AM EDT</t>
  </si>
  <si>
    <t>7:15:42 PM EDT</t>
  </si>
  <si>
    <t>2:30:00 PM EDT</t>
  </si>
  <si>
    <t>3:00:00 PM EDT</t>
  </si>
  <si>
    <t>10:00:31 AM EDT</t>
  </si>
  <si>
    <t>7:15:02 PM EDT</t>
  </si>
  <si>
    <t>Treve</t>
  </si>
  <si>
    <t>Hernandez</t>
  </si>
  <si>
    <t>Executive Assistant and FOH</t>
  </si>
  <si>
    <t>12:12:49 PM EDT</t>
  </si>
  <si>
    <t>1:12:00 PM EDT</t>
  </si>
  <si>
    <t>2:12:00 PM EDT</t>
  </si>
  <si>
    <t>11:00:00 AM EDT</t>
  </si>
  <si>
    <t>8:00:00 PM EDT</t>
  </si>
  <si>
    <t>8:55:32 PM EDT</t>
  </si>
  <si>
    <t>2:55:00 PM EDT</t>
  </si>
  <si>
    <t>3:55:00 PM EDT</t>
  </si>
  <si>
    <t>1:23:35 PM EDT</t>
  </si>
  <si>
    <t>2:23:00 PM EDT</t>
  </si>
  <si>
    <t>3:23:00 PM EDT</t>
  </si>
  <si>
    <t>11:19:28 AM EDT</t>
  </si>
  <si>
    <t>12:19:00 PM EDT</t>
  </si>
  <si>
    <t>1:19:00 PM EDT</t>
  </si>
  <si>
    <t>Deduction</t>
  </si>
  <si>
    <t>Reason</t>
  </si>
  <si>
    <t>Rent</t>
  </si>
  <si>
    <t>Rent and Stock</t>
  </si>
  <si>
    <t>Net to Pay</t>
  </si>
  <si>
    <t>Row Labels</t>
  </si>
  <si>
    <t>Grand Total</t>
  </si>
  <si>
    <t>Sum of Total labor cost</t>
  </si>
  <si>
    <t>Sum of Deduction</t>
  </si>
  <si>
    <t>(blank)</t>
  </si>
  <si>
    <t>Sum of Net to Pay</t>
  </si>
  <si>
    <t>to pay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</si>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</sst>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dy Rice-Velasquez" refreshedDate="45199.558251504626" createdVersion="6" refreshedVersion="6" minRefreshableVersion="3" recordCount="15">
  <cacheSource type="worksheet">
    <worksheetSource name="Table1"/>
  </cacheSource>
  <cacheFields count="22">
    <cacheField name="First name" numFmtId="0">
      <sharedItems count="3">
        <s v="Cody"/>
        <s v="KAILEY"/>
        <s v="Treve"/>
      </sharedItems>
    </cacheField>
    <cacheField name="Last name" numFmtId="0">
      <sharedItems/>
    </cacheField>
    <cacheField name="Job title" numFmtId="0">
      <sharedItems/>
    </cacheField>
    <cacheField name="Location" numFmtId="0">
      <sharedItems/>
    </cacheField>
    <cacheField name="Clockin date" numFmtId="14">
      <sharedItems containsSemiMixedTypes="0" containsNonDate="0" containsDate="1" containsString="0" minDate="2023-09-13T00:00:00" maxDate="2023-09-20T00:00:00"/>
    </cacheField>
    <cacheField name="Clockin time" numFmtId="0">
      <sharedItems/>
    </cacheField>
    <cacheField name="Clockout date" numFmtId="14">
      <sharedItems containsSemiMixedTypes="0" containsNonDate="0" containsDate="1" containsString="0" minDate="2023-09-14T00:00:00" maxDate="2023-09-21T00:00:00"/>
    </cacheField>
    <cacheField name="Clockout time" numFmtId="0">
      <sharedItems/>
    </cacheField>
    <cacheField name="Break start date" numFmtId="0">
      <sharedItems containsNonDate="0" containsDate="1" containsString="0" containsBlank="1" minDate="2023-09-14T00:00:00" maxDate="2023-09-20T00:00:00"/>
    </cacheField>
    <cacheField name="Break start time" numFmtId="0">
      <sharedItems containsBlank="1"/>
    </cacheField>
    <cacheField name="Break end date" numFmtId="0">
      <sharedItems containsNonDate="0" containsDate="1" containsString="0" containsBlank="1" minDate="2023-09-14T00:00:00" maxDate="2023-09-20T00:00:00"/>
    </cacheField>
    <cacheField name="Break end time" numFmtId="0">
      <sharedItems containsBlank="1"/>
    </cacheField>
    <cacheField name="Unpaid break" numFmtId="0">
      <sharedItems containsSemiMixedTypes="0" containsString="0" containsNumber="1" minValue="0" maxValue="1"/>
    </cacheField>
    <cacheField name="Paid break" numFmtId="0">
      <sharedItems containsSemiMixedTypes="0" containsString="0" containsNumber="1" containsInteger="1" minValue="0" maxValue="0"/>
    </cacheField>
    <cacheField name="Regular hours" numFmtId="0">
      <sharedItems containsSemiMixedTypes="0" containsString="0" containsNumber="1" minValue="6" maxValue="16.98"/>
    </cacheField>
    <cacheField name="Total paid hours" numFmtId="0">
      <sharedItems containsSemiMixedTypes="0" containsString="0" containsNumber="1" minValue="6" maxValue="16.98"/>
    </cacheField>
    <cacheField name="Regular labor cost" numFmtId="8">
      <sharedItems containsSemiMixedTypes="0" containsString="0" containsNumber="1" minValue="43.5" maxValue="123.13"/>
    </cacheField>
    <cacheField name="Total labor cost" numFmtId="8">
      <sharedItems containsSemiMixedTypes="0" containsString="0" containsNumber="1" minValue="43.5" maxValue="123.13"/>
    </cacheField>
    <cacheField name="Transaction tips" numFmtId="8">
      <sharedItems containsSemiMixedTypes="0" containsString="0" containsNumber="1" minValue="0" maxValue="4.7300000000000004"/>
    </cacheField>
    <cacheField name="Deduction" numFmtId="0">
      <sharedItems containsString="0" containsBlank="1" containsNumber="1" containsInteger="1" minValue="25" maxValue="50"/>
    </cacheField>
    <cacheField name="Reason" numFmtId="0">
      <sharedItems containsBlank="1" count="3">
        <s v="Rent"/>
        <m/>
        <s v="Rent and Stock"/>
      </sharedItems>
    </cacheField>
    <cacheField name="Net to Pay" numFmtId="8">
      <sharedItems containsSemiMixedTypes="0" containsString="0" containsNumber="1" minValue="18.5" maxValue="105.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s v="Rice-Velasquez"/>
    <s v="Miembro del equipo"/>
    <s v="SRVTM.Pro"/>
    <d v="2023-09-13T00:00:00"/>
    <s v="6:05:00 PM EDT"/>
    <d v="2023-09-14T00:00:00"/>
    <s v="11:04:00 AM EDT"/>
    <m/>
    <m/>
    <m/>
    <m/>
    <n v="0"/>
    <n v="0"/>
    <n v="16.98"/>
    <n v="16.98"/>
    <n v="123.13"/>
    <n v="123.13"/>
    <n v="0"/>
    <n v="25"/>
    <x v="0"/>
    <n v="98.13"/>
  </r>
  <r>
    <x v="0"/>
    <s v="Rice-Velasquez"/>
    <s v="Miembro del equipo"/>
    <s v="SRVTM.Pro"/>
    <d v="2023-09-14T00:00:00"/>
    <s v="12:42:00 PM EDT"/>
    <d v="2023-09-15T00:00:00"/>
    <s v="4:42:00 AM EDT"/>
    <d v="2023-09-14T00:00:00"/>
    <s v="1:00:00 PM EDT"/>
    <d v="2023-09-14T00:00:00"/>
    <s v="2:00:00 PM EDT"/>
    <n v="1"/>
    <n v="0"/>
    <n v="15"/>
    <n v="15"/>
    <n v="108.75"/>
    <n v="108.75"/>
    <n v="0"/>
    <n v="25"/>
    <x v="0"/>
    <n v="83.75"/>
  </r>
  <r>
    <x v="0"/>
    <s v="Rice-Velasquez"/>
    <s v="Miembro del equipo"/>
    <s v="SRVTM.Pro"/>
    <d v="2023-09-15T00:00:00"/>
    <s v="10:55:00 AM EDT"/>
    <d v="2023-09-15T00:00:00"/>
    <s v="8:30:00 PM EDT"/>
    <d v="2023-09-15T00:00:00"/>
    <s v="1:00:00 PM EDT"/>
    <d v="2023-09-15T00:00:00"/>
    <s v="2:00:00 PM EDT"/>
    <n v="1"/>
    <n v="0"/>
    <n v="8.58"/>
    <n v="8.58"/>
    <n v="62.23"/>
    <n v="62.23"/>
    <n v="0"/>
    <n v="25"/>
    <x v="0"/>
    <n v="37.229999999999997"/>
  </r>
  <r>
    <x v="0"/>
    <s v="Rice-Velasquez"/>
    <s v="Miembro del equipo"/>
    <s v="SRVTM.Pro"/>
    <d v="2023-09-15T00:00:00"/>
    <s v="11:00:00 PM EDT"/>
    <d v="2023-09-16T00:00:00"/>
    <s v="5:00:00 AM EDT"/>
    <m/>
    <m/>
    <m/>
    <m/>
    <n v="0"/>
    <n v="0"/>
    <n v="6"/>
    <n v="6"/>
    <n v="43.5"/>
    <n v="43.5"/>
    <n v="0"/>
    <n v="25"/>
    <x v="0"/>
    <n v="18.5"/>
  </r>
  <r>
    <x v="0"/>
    <s v="Rice-Velasquez"/>
    <s v="Miembro del equipo"/>
    <s v="SRVTM.Pro"/>
    <d v="2023-09-16T00:00:00"/>
    <s v="10:28:00 AM EDT"/>
    <d v="2023-09-17T00:00:00"/>
    <s v="2:30:00 AM EDT"/>
    <m/>
    <m/>
    <m/>
    <m/>
    <n v="0"/>
    <n v="0"/>
    <n v="16.03"/>
    <n v="16.03"/>
    <n v="116.25"/>
    <n v="116.25"/>
    <n v="4.7300000000000004"/>
    <n v="25"/>
    <x v="0"/>
    <n v="91.25"/>
  </r>
  <r>
    <x v="0"/>
    <s v="Rice-Velasquez"/>
    <s v="Miembro del equipo"/>
    <s v="SRVTM.Pro"/>
    <d v="2023-09-17T00:00:00"/>
    <s v="12:51:05 PM EDT"/>
    <d v="2023-09-18T00:00:00"/>
    <s v="2:51:05 AM EDT"/>
    <m/>
    <m/>
    <m/>
    <m/>
    <n v="0"/>
    <n v="0"/>
    <n v="14"/>
    <n v="14"/>
    <n v="101.5"/>
    <n v="101.5"/>
    <n v="0"/>
    <m/>
    <x v="1"/>
    <n v="101.5"/>
  </r>
  <r>
    <x v="0"/>
    <s v="Rice-Velasquez"/>
    <s v="Miembro del equipo"/>
    <s v="SRVTM.Pro"/>
    <d v="2023-09-18T00:00:00"/>
    <s v="1:15:55 PM EDT"/>
    <d v="2023-09-19T00:00:00"/>
    <s v="3:51:55 AM EDT"/>
    <m/>
    <m/>
    <m/>
    <m/>
    <n v="0"/>
    <n v="0"/>
    <n v="14.6"/>
    <n v="14.6"/>
    <n v="105.85"/>
    <n v="105.85"/>
    <n v="0"/>
    <m/>
    <x v="1"/>
    <n v="105.85"/>
  </r>
  <r>
    <x v="0"/>
    <s v="Rice-Velasquez"/>
    <s v="Miembro del equipo"/>
    <s v="SRVTM.Pro"/>
    <d v="2023-09-19T00:00:00"/>
    <s v="3:00:32 PM EDT"/>
    <d v="2023-09-20T00:00:00"/>
    <s v="4:00:32 AM EDT"/>
    <d v="2023-09-19T00:00:00"/>
    <s v="4:00:00 PM EDT"/>
    <d v="2023-09-19T00:00:00"/>
    <s v="5:00:00 PM EDT"/>
    <n v="1"/>
    <n v="0"/>
    <n v="8"/>
    <n v="8"/>
    <n v="58"/>
    <n v="58"/>
    <n v="0"/>
    <m/>
    <x v="1"/>
    <n v="58"/>
  </r>
  <r>
    <x v="1"/>
    <s v="Lechuga"/>
    <s v="RECEPTIONIST"/>
    <s v="SRVTM.Pro"/>
    <d v="2023-09-16T00:00:00"/>
    <s v="10:00:13 AM EDT"/>
    <d v="2023-09-16T00:00:00"/>
    <s v="7:15:42 PM EDT"/>
    <d v="2023-09-16T00:00:00"/>
    <s v="2:30:00 PM EDT"/>
    <d v="2023-09-16T00:00:00"/>
    <s v="3:00:00 PM EDT"/>
    <n v="0.5"/>
    <n v="0"/>
    <n v="8.75"/>
    <n v="8.75"/>
    <n v="87.5"/>
    <n v="87.5"/>
    <n v="0.86"/>
    <m/>
    <x v="1"/>
    <n v="87.5"/>
  </r>
  <r>
    <x v="1"/>
    <s v="Lechuga"/>
    <s v="RECEPTIONIST"/>
    <s v="SRVTM.Pro"/>
    <d v="2023-09-17T00:00:00"/>
    <s v="10:00:31 AM EDT"/>
    <d v="2023-09-17T00:00:00"/>
    <s v="7:15:02 PM EDT"/>
    <d v="2023-09-17T00:00:00"/>
    <s v="2:00:00 PM EDT"/>
    <d v="2023-09-17T00:00:00"/>
    <s v="2:30:00 PM EDT"/>
    <n v="0.5"/>
    <n v="0"/>
    <n v="8.75"/>
    <n v="8.75"/>
    <n v="87.5"/>
    <n v="87.5"/>
    <n v="0"/>
    <m/>
    <x v="1"/>
    <n v="87.5"/>
  </r>
  <r>
    <x v="2"/>
    <s v="Hernandez"/>
    <s v="Executive Assistant and FOH"/>
    <s v="SRVTM.Pro"/>
    <d v="2023-09-14T00:00:00"/>
    <s v="12:12:49 PM EDT"/>
    <d v="2023-09-14T00:00:00"/>
    <s v="8:30:00 PM EDT"/>
    <d v="2023-09-14T00:00:00"/>
    <s v="1:12:00 PM EDT"/>
    <d v="2023-09-14T00:00:00"/>
    <s v="2:12:00 PM EDT"/>
    <n v="1"/>
    <n v="0"/>
    <n v="7.3"/>
    <n v="7.3"/>
    <n v="91.25"/>
    <n v="91.25"/>
    <n v="0"/>
    <n v="50"/>
    <x v="2"/>
    <n v="41.25"/>
  </r>
  <r>
    <x v="2"/>
    <s v="Hernandez"/>
    <s v="Executive Assistant and FOH"/>
    <s v="SRVTM.Pro"/>
    <d v="2023-09-15T00:00:00"/>
    <s v="11:00:00 AM EDT"/>
    <d v="2023-09-15T00:00:00"/>
    <s v="8:00:00 PM EDT"/>
    <m/>
    <m/>
    <m/>
    <m/>
    <n v="0"/>
    <n v="0"/>
    <n v="9"/>
    <n v="9"/>
    <n v="112.5"/>
    <n v="112.5"/>
    <n v="0"/>
    <n v="50"/>
    <x v="2"/>
    <n v="62.5"/>
  </r>
  <r>
    <x v="2"/>
    <s v="Hernandez"/>
    <s v="Executive Assistant and FOH"/>
    <s v="SRVTM.Pro"/>
    <d v="2023-09-16T00:00:00"/>
    <s v="11:00:00 AM EDT"/>
    <d v="2023-09-16T00:00:00"/>
    <s v="8:55:32 PM EDT"/>
    <d v="2023-09-16T00:00:00"/>
    <s v="2:55:00 PM EDT"/>
    <d v="2023-09-16T00:00:00"/>
    <s v="3:55:00 PM EDT"/>
    <n v="1"/>
    <n v="0"/>
    <n v="8.92"/>
    <n v="8.92"/>
    <n v="111.46"/>
    <n v="111.46"/>
    <n v="2.0099999999999998"/>
    <n v="50"/>
    <x v="2"/>
    <n v="61.459999999999994"/>
  </r>
  <r>
    <x v="2"/>
    <s v="Hernandez"/>
    <s v="Executive Assistant and FOH"/>
    <s v="SRVTM.Pro"/>
    <d v="2023-09-17T00:00:00"/>
    <s v="1:23:35 PM EDT"/>
    <d v="2023-09-17T00:00:00"/>
    <s v="8:30:00 PM EDT"/>
    <d v="2023-09-17T00:00:00"/>
    <s v="2:23:00 PM EDT"/>
    <d v="2023-09-17T00:00:00"/>
    <s v="3:23:00 PM EDT"/>
    <n v="1"/>
    <n v="0"/>
    <n v="6.12"/>
    <n v="6.12"/>
    <n v="76.459999999999994"/>
    <n v="76.459999999999994"/>
    <n v="0"/>
    <n v="50"/>
    <x v="2"/>
    <n v="26.459999999999994"/>
  </r>
  <r>
    <x v="2"/>
    <s v="Hernandez"/>
    <s v="Executive Assistant and FOH"/>
    <s v="SRVTM.Pro"/>
    <d v="2023-09-18T00:00:00"/>
    <s v="11:19:28 AM EDT"/>
    <d v="2023-09-18T00:00:00"/>
    <s v="8:30:00 PM EDT"/>
    <d v="2023-09-18T00:00:00"/>
    <s v="12:19:00 PM EDT"/>
    <d v="2023-09-18T00:00:00"/>
    <s v="1:19:00 PM EDT"/>
    <n v="1"/>
    <n v="0"/>
    <n v="8.18"/>
    <n v="8.18"/>
    <n v="102.3"/>
    <n v="102.3"/>
    <n v="0"/>
    <n v="50"/>
    <x v="2"/>
    <n v="52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1" firstHeaderRow="0" firstDataRow="1" firstDataCol="1"/>
  <pivotFields count="22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dataField="1" numFmtId="8" showAll="0"/>
    <pivotField numFmtId="8" showAll="0"/>
    <pivotField dataField="1" showAll="0"/>
    <pivotField axis="axisRow" showAll="0">
      <items count="4">
        <item x="0"/>
        <item x="2"/>
        <item x="1"/>
        <item t="default"/>
      </items>
    </pivotField>
    <pivotField dataField="1" numFmtId="8" showAll="0"/>
  </pivotFields>
  <rowFields count="2">
    <field x="0"/>
    <field x="20"/>
  </rowFields>
  <rowItems count="8">
    <i>
      <x/>
    </i>
    <i r="1">
      <x/>
    </i>
    <i r="1">
      <x v="2"/>
    </i>
    <i>
      <x v="1"/>
    </i>
    <i r="1">
      <x v="2"/>
    </i>
    <i>
      <x v="2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labor cost" fld="17" baseField="0" baseItem="0"/>
    <dataField name="Sum of Deduction" fld="19" baseField="0" baseItem="0"/>
    <dataField name="Sum of Net to Pay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V16" totalsRowShown="0">
  <autoFilter ref="A1:V16"/>
  <tableColumns count="22">
    <tableColumn id="1" name="First name"/>
    <tableColumn id="2" name="Last name"/>
    <tableColumn id="3" name="Job title"/>
    <tableColumn id="4" name="Location"/>
    <tableColumn id="5" name="Clockin date" dataDxfId="7"/>
    <tableColumn id="6" name="Clockin time"/>
    <tableColumn id="7" name="Clockout date" dataDxfId="6"/>
    <tableColumn id="8" name="Clockout time"/>
    <tableColumn id="9" name="Break start date" dataDxfId="5"/>
    <tableColumn id="10" name="Break start time"/>
    <tableColumn id="11" name="Break end date" dataDxfId="4"/>
    <tableColumn id="12" name="Break end time"/>
    <tableColumn id="13" name="Unpaid break"/>
    <tableColumn id="14" name="Paid break"/>
    <tableColumn id="15" name="Regular hours"/>
    <tableColumn id="16" name="Total paid hours"/>
    <tableColumn id="17" name="Regular labor cost" dataDxfId="3"/>
    <tableColumn id="18" name="Total labor cost" dataDxfId="2"/>
    <tableColumn id="19" name="Transaction tips" dataDxfId="1"/>
    <tableColumn id="20" name="Deduction"/>
    <tableColumn id="21" name="Reason"/>
    <tableColumn id="22" name="Net to Pay" dataDxfId="0">
      <calculatedColumnFormula>R2-T2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7"/>
  <sheetViews>
    <sheetView tabSelected="1" workbookViewId="0">
      <selection activeCell="D14" sqref="D14"/>
    </sheetView>
  </sheetViews>
  <sheetFormatPr defaultRowHeight="14.25" x14ac:dyDescent="0.45"/>
  <cols>
    <col min="1" max="1" width="18.19921875" bestFit="1" customWidth="1"/>
    <col min="2" max="2" width="19.9296875" bestFit="1" customWidth="1"/>
    <col min="3" max="4" width="15.6640625" bestFit="1" customWidth="1"/>
  </cols>
  <sheetData>
    <row r="3" spans="1:4" x14ac:dyDescent="0.45">
      <c r="A3" s="3" t="s">
        <v>74</v>
      </c>
      <c r="B3" t="s">
        <v>76</v>
      </c>
      <c r="C3" t="s">
        <v>77</v>
      </c>
      <c r="D3" t="s">
        <v>79</v>
      </c>
    </row>
    <row r="4" spans="1:4" x14ac:dyDescent="0.45">
      <c r="A4" s="4" t="s">
        <v>19</v>
      </c>
      <c r="B4" s="5">
        <v>719.21</v>
      </c>
      <c r="C4" s="5">
        <v>125</v>
      </c>
      <c r="D4" s="5">
        <v>594.21</v>
      </c>
    </row>
    <row r="5" spans="1:4" x14ac:dyDescent="0.45">
      <c r="A5" s="6" t="s">
        <v>71</v>
      </c>
      <c r="B5" s="5">
        <v>453.86</v>
      </c>
      <c r="C5" s="5">
        <v>125</v>
      </c>
      <c r="D5" s="5">
        <v>328.86</v>
      </c>
    </row>
    <row r="6" spans="1:4" x14ac:dyDescent="0.45">
      <c r="A6" s="6" t="s">
        <v>78</v>
      </c>
      <c r="B6" s="5">
        <v>265.35000000000002</v>
      </c>
      <c r="C6" s="5"/>
      <c r="D6" s="5">
        <v>265.35000000000002</v>
      </c>
    </row>
    <row r="7" spans="1:4" x14ac:dyDescent="0.45">
      <c r="A7" s="4" t="s">
        <v>43</v>
      </c>
      <c r="B7" s="5">
        <v>175</v>
      </c>
      <c r="C7" s="5"/>
      <c r="D7" s="5">
        <v>175</v>
      </c>
    </row>
    <row r="8" spans="1:4" x14ac:dyDescent="0.45">
      <c r="A8" s="6" t="s">
        <v>78</v>
      </c>
      <c r="B8" s="5">
        <v>175</v>
      </c>
      <c r="C8" s="5"/>
      <c r="D8" s="5">
        <v>175</v>
      </c>
    </row>
    <row r="9" spans="1:4" x14ac:dyDescent="0.45">
      <c r="A9" s="4" t="s">
        <v>52</v>
      </c>
      <c r="B9" s="5">
        <v>493.96999999999997</v>
      </c>
      <c r="C9" s="5">
        <v>250</v>
      </c>
      <c r="D9" s="5">
        <v>243.96999999999997</v>
      </c>
    </row>
    <row r="10" spans="1:4" x14ac:dyDescent="0.45">
      <c r="A10" s="6" t="s">
        <v>72</v>
      </c>
      <c r="B10" s="5">
        <v>493.96999999999997</v>
      </c>
      <c r="C10" s="5">
        <v>250</v>
      </c>
      <c r="D10" s="5">
        <v>243.96999999999997</v>
      </c>
    </row>
    <row r="11" spans="1:4" x14ac:dyDescent="0.45">
      <c r="A11" s="4" t="s">
        <v>75</v>
      </c>
      <c r="B11" s="5">
        <v>1388.18</v>
      </c>
      <c r="C11" s="5">
        <v>375</v>
      </c>
      <c r="D11" s="5">
        <v>1013.1800000000001</v>
      </c>
    </row>
    <row r="15" spans="1:4" x14ac:dyDescent="0.45">
      <c r="A15" t="s">
        <v>52</v>
      </c>
      <c r="B15">
        <v>12.5</v>
      </c>
    </row>
    <row r="16" spans="1:4" x14ac:dyDescent="0.45">
      <c r="A16" t="s">
        <v>80</v>
      </c>
      <c r="B16">
        <v>194</v>
      </c>
    </row>
    <row r="17" spans="1:2" x14ac:dyDescent="0.45">
      <c r="A17" t="s">
        <v>81</v>
      </c>
      <c r="B17">
        <f>B16/B15</f>
        <v>15.52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activeCell="V1" sqref="A1:V16"/>
    </sheetView>
  </sheetViews>
  <sheetFormatPr defaultRowHeight="14.25" x14ac:dyDescent="0.45"/>
  <cols>
    <col min="1" max="1" width="11.796875" bestFit="1" customWidth="1"/>
    <col min="2" max="2" width="11.06640625" customWidth="1"/>
    <col min="3" max="3" width="9.46484375" customWidth="1"/>
    <col min="4" max="4" width="9.73046875" customWidth="1"/>
    <col min="5" max="5" width="10.53125" customWidth="1"/>
    <col min="6" max="6" width="13.06640625" customWidth="1"/>
    <col min="7" max="7" width="10.3984375" customWidth="1"/>
    <col min="8" max="8" width="14.265625" customWidth="1"/>
    <col min="9" max="9" width="11.19921875" customWidth="1"/>
    <col min="10" max="10" width="13.59765625" customWidth="1"/>
    <col min="11" max="11" width="10.796875" customWidth="1"/>
    <col min="12" max="12" width="13.19921875" customWidth="1"/>
    <col min="13" max="19" width="8.3984375" customWidth="1"/>
    <col min="20" max="20" width="9.19921875" customWidth="1"/>
    <col min="21" max="21" width="12.86328125" customWidth="1"/>
    <col min="22" max="22" width="11.33203125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69</v>
      </c>
      <c r="U1" t="s">
        <v>70</v>
      </c>
      <c r="V1" t="s">
        <v>73</v>
      </c>
    </row>
    <row r="2" spans="1:22" x14ac:dyDescent="0.45">
      <c r="A2" t="s">
        <v>19</v>
      </c>
      <c r="B2" t="s">
        <v>20</v>
      </c>
      <c r="C2" t="s">
        <v>21</v>
      </c>
      <c r="D2" t="s">
        <v>22</v>
      </c>
      <c r="E2" s="1">
        <v>45182</v>
      </c>
      <c r="F2" t="s">
        <v>23</v>
      </c>
      <c r="G2" s="1">
        <v>45183</v>
      </c>
      <c r="H2" t="s">
        <v>24</v>
      </c>
      <c r="M2">
        <v>0</v>
      </c>
      <c r="N2">
        <v>0</v>
      </c>
      <c r="O2">
        <v>16.98</v>
      </c>
      <c r="P2">
        <v>16.98</v>
      </c>
      <c r="Q2" s="2">
        <v>123.13</v>
      </c>
      <c r="R2" s="2">
        <v>123.13</v>
      </c>
      <c r="S2" s="2">
        <v>0</v>
      </c>
      <c r="T2" s="2">
        <v>25</v>
      </c>
      <c r="U2" t="s">
        <v>71</v>
      </c>
      <c r="V2" s="2">
        <f>R2-T2</f>
        <v>98.13</v>
      </c>
    </row>
    <row r="3" spans="1:22" x14ac:dyDescent="0.45">
      <c r="A3" t="s">
        <v>19</v>
      </c>
      <c r="B3" t="s">
        <v>20</v>
      </c>
      <c r="C3" t="s">
        <v>21</v>
      </c>
      <c r="D3" t="s">
        <v>22</v>
      </c>
      <c r="E3" s="1">
        <v>45183</v>
      </c>
      <c r="F3" t="s">
        <v>25</v>
      </c>
      <c r="G3" s="1">
        <v>45184</v>
      </c>
      <c r="H3" t="s">
        <v>26</v>
      </c>
      <c r="I3" s="1">
        <v>45183</v>
      </c>
      <c r="J3" t="s">
        <v>27</v>
      </c>
      <c r="K3" s="1">
        <v>45183</v>
      </c>
      <c r="L3" t="s">
        <v>28</v>
      </c>
      <c r="M3">
        <v>1</v>
      </c>
      <c r="N3">
        <v>0</v>
      </c>
      <c r="O3">
        <v>15</v>
      </c>
      <c r="P3">
        <v>15</v>
      </c>
      <c r="Q3" s="2">
        <v>108.75</v>
      </c>
      <c r="R3" s="2">
        <v>108.75</v>
      </c>
      <c r="S3" s="2">
        <v>0</v>
      </c>
      <c r="T3" s="2">
        <v>25</v>
      </c>
      <c r="U3" t="s">
        <v>71</v>
      </c>
      <c r="V3" s="2">
        <f t="shared" ref="V3:V16" si="0">R3-T3</f>
        <v>83.75</v>
      </c>
    </row>
    <row r="4" spans="1:22" x14ac:dyDescent="0.45">
      <c r="A4" t="s">
        <v>19</v>
      </c>
      <c r="B4" t="s">
        <v>20</v>
      </c>
      <c r="C4" t="s">
        <v>21</v>
      </c>
      <c r="D4" t="s">
        <v>22</v>
      </c>
      <c r="E4" s="1">
        <v>45184</v>
      </c>
      <c r="F4" t="s">
        <v>29</v>
      </c>
      <c r="G4" s="1">
        <v>45184</v>
      </c>
      <c r="H4" t="s">
        <v>30</v>
      </c>
      <c r="I4" s="1">
        <v>45184</v>
      </c>
      <c r="J4" t="s">
        <v>27</v>
      </c>
      <c r="K4" s="1">
        <v>45184</v>
      </c>
      <c r="L4" t="s">
        <v>28</v>
      </c>
      <c r="M4">
        <v>1</v>
      </c>
      <c r="N4">
        <v>0</v>
      </c>
      <c r="O4">
        <v>8.58</v>
      </c>
      <c r="P4">
        <v>8.58</v>
      </c>
      <c r="Q4" s="2">
        <v>62.23</v>
      </c>
      <c r="R4" s="2">
        <v>62.23</v>
      </c>
      <c r="S4" s="2">
        <v>0</v>
      </c>
      <c r="T4" s="2">
        <v>25</v>
      </c>
      <c r="U4" t="s">
        <v>71</v>
      </c>
      <c r="V4" s="2">
        <f t="shared" si="0"/>
        <v>37.229999999999997</v>
      </c>
    </row>
    <row r="5" spans="1:22" x14ac:dyDescent="0.45">
      <c r="A5" t="s">
        <v>19</v>
      </c>
      <c r="B5" t="s">
        <v>20</v>
      </c>
      <c r="C5" t="s">
        <v>21</v>
      </c>
      <c r="D5" t="s">
        <v>22</v>
      </c>
      <c r="E5" s="1">
        <v>45184</v>
      </c>
      <c r="F5" t="s">
        <v>31</v>
      </c>
      <c r="G5" s="1">
        <v>45185</v>
      </c>
      <c r="H5" t="s">
        <v>32</v>
      </c>
      <c r="M5">
        <v>0</v>
      </c>
      <c r="N5">
        <v>0</v>
      </c>
      <c r="O5">
        <v>6</v>
      </c>
      <c r="P5">
        <v>6</v>
      </c>
      <c r="Q5" s="2">
        <v>43.5</v>
      </c>
      <c r="R5" s="2">
        <v>43.5</v>
      </c>
      <c r="S5" s="2">
        <v>0</v>
      </c>
      <c r="T5" s="2">
        <v>25</v>
      </c>
      <c r="U5" t="s">
        <v>71</v>
      </c>
      <c r="V5" s="2">
        <f t="shared" si="0"/>
        <v>18.5</v>
      </c>
    </row>
    <row r="6" spans="1:22" x14ac:dyDescent="0.45">
      <c r="A6" t="s">
        <v>19</v>
      </c>
      <c r="B6" t="s">
        <v>20</v>
      </c>
      <c r="C6" t="s">
        <v>21</v>
      </c>
      <c r="D6" t="s">
        <v>22</v>
      </c>
      <c r="E6" s="1">
        <v>45185</v>
      </c>
      <c r="F6" t="s">
        <v>33</v>
      </c>
      <c r="G6" s="1">
        <v>45186</v>
      </c>
      <c r="H6" t="s">
        <v>34</v>
      </c>
      <c r="M6">
        <v>0</v>
      </c>
      <c r="N6">
        <v>0</v>
      </c>
      <c r="O6">
        <v>16.03</v>
      </c>
      <c r="P6">
        <v>16.03</v>
      </c>
      <c r="Q6" s="2">
        <v>116.25</v>
      </c>
      <c r="R6" s="2">
        <v>116.25</v>
      </c>
      <c r="S6" s="2">
        <v>4.7300000000000004</v>
      </c>
      <c r="T6" s="2">
        <v>25</v>
      </c>
      <c r="U6" t="s">
        <v>71</v>
      </c>
      <c r="V6" s="2">
        <f t="shared" si="0"/>
        <v>91.25</v>
      </c>
    </row>
    <row r="7" spans="1:22" x14ac:dyDescent="0.45">
      <c r="A7" t="s">
        <v>19</v>
      </c>
      <c r="B7" t="s">
        <v>20</v>
      </c>
      <c r="C7" t="s">
        <v>21</v>
      </c>
      <c r="D7" t="s">
        <v>22</v>
      </c>
      <c r="E7" s="1">
        <v>45186</v>
      </c>
      <c r="F7" t="s">
        <v>35</v>
      </c>
      <c r="G7" s="1">
        <v>45187</v>
      </c>
      <c r="H7" t="s">
        <v>36</v>
      </c>
      <c r="M7">
        <v>0</v>
      </c>
      <c r="N7">
        <v>0</v>
      </c>
      <c r="O7">
        <v>14</v>
      </c>
      <c r="P7">
        <v>14</v>
      </c>
      <c r="Q7" s="2">
        <v>101.5</v>
      </c>
      <c r="R7" s="2">
        <v>101.5</v>
      </c>
      <c r="S7" s="2">
        <v>0</v>
      </c>
      <c r="V7" s="2">
        <f t="shared" si="0"/>
        <v>101.5</v>
      </c>
    </row>
    <row r="8" spans="1:22" x14ac:dyDescent="0.45">
      <c r="A8" t="s">
        <v>19</v>
      </c>
      <c r="B8" t="s">
        <v>20</v>
      </c>
      <c r="C8" t="s">
        <v>21</v>
      </c>
      <c r="D8" t="s">
        <v>22</v>
      </c>
      <c r="E8" s="1">
        <v>45187</v>
      </c>
      <c r="F8" t="s">
        <v>37</v>
      </c>
      <c r="G8" s="1">
        <v>45188</v>
      </c>
      <c r="H8" t="s">
        <v>38</v>
      </c>
      <c r="M8">
        <v>0</v>
      </c>
      <c r="N8">
        <v>0</v>
      </c>
      <c r="O8">
        <v>14.6</v>
      </c>
      <c r="P8">
        <v>14.6</v>
      </c>
      <c r="Q8" s="2">
        <v>105.85</v>
      </c>
      <c r="R8" s="2">
        <v>105.85</v>
      </c>
      <c r="S8" s="2">
        <v>0</v>
      </c>
      <c r="V8" s="2">
        <f t="shared" si="0"/>
        <v>105.85</v>
      </c>
    </row>
    <row r="9" spans="1:22" x14ac:dyDescent="0.45">
      <c r="A9" t="s">
        <v>19</v>
      </c>
      <c r="B9" t="s">
        <v>20</v>
      </c>
      <c r="C9" t="s">
        <v>21</v>
      </c>
      <c r="D9" t="s">
        <v>22</v>
      </c>
      <c r="E9" s="1">
        <v>45188</v>
      </c>
      <c r="F9" t="s">
        <v>39</v>
      </c>
      <c r="G9" s="1">
        <v>45189</v>
      </c>
      <c r="H9" t="s">
        <v>40</v>
      </c>
      <c r="I9" s="1">
        <v>45188</v>
      </c>
      <c r="J9" t="s">
        <v>41</v>
      </c>
      <c r="K9" s="1">
        <v>45188</v>
      </c>
      <c r="L9" t="s">
        <v>42</v>
      </c>
      <c r="M9">
        <v>1</v>
      </c>
      <c r="N9">
        <v>0</v>
      </c>
      <c r="O9">
        <v>8</v>
      </c>
      <c r="P9">
        <v>8</v>
      </c>
      <c r="Q9" s="2">
        <v>58</v>
      </c>
      <c r="R9" s="2">
        <v>58</v>
      </c>
      <c r="S9" s="2">
        <v>0</v>
      </c>
      <c r="V9" s="2">
        <f t="shared" si="0"/>
        <v>58</v>
      </c>
    </row>
    <row r="10" spans="1:22" x14ac:dyDescent="0.45">
      <c r="A10" t="s">
        <v>43</v>
      </c>
      <c r="B10" t="s">
        <v>44</v>
      </c>
      <c r="C10" t="s">
        <v>45</v>
      </c>
      <c r="D10" t="s">
        <v>22</v>
      </c>
      <c r="E10" s="1">
        <v>45185</v>
      </c>
      <c r="F10" t="s">
        <v>46</v>
      </c>
      <c r="G10" s="1">
        <v>45185</v>
      </c>
      <c r="H10" t="s">
        <v>47</v>
      </c>
      <c r="I10" s="1">
        <v>45185</v>
      </c>
      <c r="J10" t="s">
        <v>48</v>
      </c>
      <c r="K10" s="1">
        <v>45185</v>
      </c>
      <c r="L10" t="s">
        <v>49</v>
      </c>
      <c r="M10">
        <v>0.5</v>
      </c>
      <c r="N10">
        <v>0</v>
      </c>
      <c r="O10">
        <v>8.75</v>
      </c>
      <c r="P10">
        <v>8.75</v>
      </c>
      <c r="Q10" s="2">
        <v>87.5</v>
      </c>
      <c r="R10" s="2">
        <v>87.5</v>
      </c>
      <c r="S10" s="2">
        <v>0.86</v>
      </c>
      <c r="V10" s="2">
        <f t="shared" si="0"/>
        <v>87.5</v>
      </c>
    </row>
    <row r="11" spans="1:22" x14ac:dyDescent="0.45">
      <c r="A11" t="s">
        <v>43</v>
      </c>
      <c r="B11" t="s">
        <v>44</v>
      </c>
      <c r="C11" t="s">
        <v>45</v>
      </c>
      <c r="D11" t="s">
        <v>22</v>
      </c>
      <c r="E11" s="1">
        <v>45186</v>
      </c>
      <c r="F11" t="s">
        <v>50</v>
      </c>
      <c r="G11" s="1">
        <v>45186</v>
      </c>
      <c r="H11" t="s">
        <v>51</v>
      </c>
      <c r="I11" s="1">
        <v>45186</v>
      </c>
      <c r="J11" t="s">
        <v>28</v>
      </c>
      <c r="K11" s="1">
        <v>45186</v>
      </c>
      <c r="L11" t="s">
        <v>48</v>
      </c>
      <c r="M11">
        <v>0.5</v>
      </c>
      <c r="N11">
        <v>0</v>
      </c>
      <c r="O11">
        <v>8.75</v>
      </c>
      <c r="P11">
        <v>8.75</v>
      </c>
      <c r="Q11" s="2">
        <v>87.5</v>
      </c>
      <c r="R11" s="2">
        <v>87.5</v>
      </c>
      <c r="S11" s="2">
        <v>0</v>
      </c>
      <c r="V11" s="2">
        <f t="shared" si="0"/>
        <v>87.5</v>
      </c>
    </row>
    <row r="12" spans="1:22" x14ac:dyDescent="0.45">
      <c r="A12" t="s">
        <v>52</v>
      </c>
      <c r="B12" t="s">
        <v>53</v>
      </c>
      <c r="C12" t="s">
        <v>54</v>
      </c>
      <c r="D12" t="s">
        <v>22</v>
      </c>
      <c r="E12" s="1">
        <v>45183</v>
      </c>
      <c r="F12" t="s">
        <v>55</v>
      </c>
      <c r="G12" s="1">
        <v>45183</v>
      </c>
      <c r="H12" t="s">
        <v>30</v>
      </c>
      <c r="I12" s="1">
        <v>45183</v>
      </c>
      <c r="J12" t="s">
        <v>56</v>
      </c>
      <c r="K12" s="1">
        <v>45183</v>
      </c>
      <c r="L12" t="s">
        <v>57</v>
      </c>
      <c r="M12">
        <v>1</v>
      </c>
      <c r="N12">
        <v>0</v>
      </c>
      <c r="O12">
        <v>7.3</v>
      </c>
      <c r="P12">
        <v>7.3</v>
      </c>
      <c r="Q12" s="2">
        <v>91.25</v>
      </c>
      <c r="R12" s="2">
        <v>91.25</v>
      </c>
      <c r="S12" s="2">
        <v>0</v>
      </c>
      <c r="T12">
        <v>50</v>
      </c>
      <c r="U12" t="s">
        <v>72</v>
      </c>
      <c r="V12" s="2">
        <f t="shared" si="0"/>
        <v>41.25</v>
      </c>
    </row>
    <row r="13" spans="1:22" x14ac:dyDescent="0.45">
      <c r="A13" t="s">
        <v>52</v>
      </c>
      <c r="B13" t="s">
        <v>53</v>
      </c>
      <c r="C13" t="s">
        <v>54</v>
      </c>
      <c r="D13" t="s">
        <v>22</v>
      </c>
      <c r="E13" s="1">
        <v>45184</v>
      </c>
      <c r="F13" t="s">
        <v>58</v>
      </c>
      <c r="G13" s="1">
        <v>45184</v>
      </c>
      <c r="H13" t="s">
        <v>59</v>
      </c>
      <c r="M13">
        <v>0</v>
      </c>
      <c r="N13">
        <v>0</v>
      </c>
      <c r="O13">
        <v>9</v>
      </c>
      <c r="P13">
        <v>9</v>
      </c>
      <c r="Q13" s="2">
        <v>112.5</v>
      </c>
      <c r="R13" s="2">
        <v>112.5</v>
      </c>
      <c r="S13" s="2">
        <v>0</v>
      </c>
      <c r="T13">
        <v>50</v>
      </c>
      <c r="U13" t="s">
        <v>72</v>
      </c>
      <c r="V13" s="2">
        <f t="shared" si="0"/>
        <v>62.5</v>
      </c>
    </row>
    <row r="14" spans="1:22" x14ac:dyDescent="0.45">
      <c r="A14" t="s">
        <v>52</v>
      </c>
      <c r="B14" t="s">
        <v>53</v>
      </c>
      <c r="C14" t="s">
        <v>54</v>
      </c>
      <c r="D14" t="s">
        <v>22</v>
      </c>
      <c r="E14" s="1">
        <v>45185</v>
      </c>
      <c r="F14" t="s">
        <v>58</v>
      </c>
      <c r="G14" s="1">
        <v>45185</v>
      </c>
      <c r="H14" t="s">
        <v>60</v>
      </c>
      <c r="I14" s="1">
        <v>45185</v>
      </c>
      <c r="J14" t="s">
        <v>61</v>
      </c>
      <c r="K14" s="1">
        <v>45185</v>
      </c>
      <c r="L14" t="s">
        <v>62</v>
      </c>
      <c r="M14">
        <v>1</v>
      </c>
      <c r="N14">
        <v>0</v>
      </c>
      <c r="O14">
        <v>8.92</v>
      </c>
      <c r="P14">
        <v>8.92</v>
      </c>
      <c r="Q14" s="2">
        <v>111.46</v>
      </c>
      <c r="R14" s="2">
        <v>111.46</v>
      </c>
      <c r="S14" s="2">
        <v>2.0099999999999998</v>
      </c>
      <c r="T14">
        <v>50</v>
      </c>
      <c r="U14" t="s">
        <v>72</v>
      </c>
      <c r="V14" s="2">
        <f t="shared" si="0"/>
        <v>61.459999999999994</v>
      </c>
    </row>
    <row r="15" spans="1:22" x14ac:dyDescent="0.45">
      <c r="A15" t="s">
        <v>52</v>
      </c>
      <c r="B15" t="s">
        <v>53</v>
      </c>
      <c r="C15" t="s">
        <v>54</v>
      </c>
      <c r="D15" t="s">
        <v>22</v>
      </c>
      <c r="E15" s="1">
        <v>45186</v>
      </c>
      <c r="F15" t="s">
        <v>63</v>
      </c>
      <c r="G15" s="1">
        <v>45186</v>
      </c>
      <c r="H15" t="s">
        <v>30</v>
      </c>
      <c r="I15" s="1">
        <v>45186</v>
      </c>
      <c r="J15" t="s">
        <v>64</v>
      </c>
      <c r="K15" s="1">
        <v>45186</v>
      </c>
      <c r="L15" t="s">
        <v>65</v>
      </c>
      <c r="M15">
        <v>1</v>
      </c>
      <c r="N15">
        <v>0</v>
      </c>
      <c r="O15">
        <v>6.12</v>
      </c>
      <c r="P15">
        <v>6.12</v>
      </c>
      <c r="Q15" s="2">
        <v>76.459999999999994</v>
      </c>
      <c r="R15" s="2">
        <v>76.459999999999994</v>
      </c>
      <c r="S15" s="2">
        <v>0</v>
      </c>
      <c r="T15">
        <v>50</v>
      </c>
      <c r="U15" t="s">
        <v>72</v>
      </c>
      <c r="V15" s="2">
        <f t="shared" si="0"/>
        <v>26.459999999999994</v>
      </c>
    </row>
    <row r="16" spans="1:22" x14ac:dyDescent="0.45">
      <c r="A16" t="s">
        <v>52</v>
      </c>
      <c r="B16" t="s">
        <v>53</v>
      </c>
      <c r="C16" t="s">
        <v>54</v>
      </c>
      <c r="D16" t="s">
        <v>22</v>
      </c>
      <c r="E16" s="1">
        <v>45187</v>
      </c>
      <c r="F16" t="s">
        <v>66</v>
      </c>
      <c r="G16" s="1">
        <v>45187</v>
      </c>
      <c r="H16" t="s">
        <v>30</v>
      </c>
      <c r="I16" s="1">
        <v>45187</v>
      </c>
      <c r="J16" t="s">
        <v>67</v>
      </c>
      <c r="K16" s="1">
        <v>45187</v>
      </c>
      <c r="L16" t="s">
        <v>68</v>
      </c>
      <c r="M16">
        <v>1</v>
      </c>
      <c r="N16">
        <v>0</v>
      </c>
      <c r="O16">
        <v>8.18</v>
      </c>
      <c r="P16">
        <v>8.18</v>
      </c>
      <c r="Q16" s="2">
        <v>102.3</v>
      </c>
      <c r="R16" s="2">
        <v>102.3</v>
      </c>
      <c r="S16" s="2">
        <v>0</v>
      </c>
      <c r="T16">
        <v>50</v>
      </c>
      <c r="U16" t="s">
        <v>72</v>
      </c>
      <c r="V16" s="2">
        <f t="shared" si="0"/>
        <v>52.3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shifts-export_2023-09-13_2023-0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Rice-Velasquez</cp:lastModifiedBy>
  <dcterms:created xsi:type="dcterms:W3CDTF">2023-09-30T17:24:28Z</dcterms:created>
  <dcterms:modified xsi:type="dcterms:W3CDTF">2023-10-01T00:11:25Z</dcterms:modified>
</cp:coreProperties>
</file>