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_and_lo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0000"/>
    </font>
    <font>
      <name val="arial"/>
      <sz val="11.0"/>
      <color rgb="FFFFFF"/>
    </font>
    <font>
      <name val="arial"/>
      <sz val="12.0"/>
      <color rgb="000000"/>
      <b val="true"/>
    </font>
    <font>
      <name val="arial"/>
      <sz val="11.0"/>
      <color rgb="FFFFFF"/>
    </font>
    <font>
      <name val="arial"/>
      <sz val="11.0"/>
      <color rgb="FFFFFF"/>
      <b val="true"/>
    </font>
    <font>
      <name val="arial"/>
      <sz val="11.0"/>
      <color rgb="000000"/>
    </font>
    <font>
      <name val="arial"/>
      <sz val="11.0"/>
      <color rgb="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5F5F5"/>
      </patternFill>
    </fill>
    <fill>
      <patternFill patternType="solid">
        <fgColor rgb="FF0000"/>
      </patternFill>
    </fill>
    <fill>
      <patternFill patternType="none">
        <fgColor rgb="F5F5F5"/>
      </patternFill>
    </fill>
    <fill>
      <patternFill patternType="none">
        <fgColor rgb="468847"/>
      </patternFill>
    </fill>
    <fill>
      <patternFill patternType="solid">
        <fgColor rgb="468847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FF6B5"/>
      </patternFill>
    </fill>
    <fill>
      <patternFill patternType="solid">
        <fgColor rgb="FFF6B5"/>
      </patternFill>
    </fill>
    <fill>
      <patternFill patternType="none">
        <fgColor rgb="2D373C"/>
      </patternFill>
    </fill>
    <fill>
      <patternFill patternType="solid">
        <fgColor rgb="2D373C"/>
      </patternFill>
    </fill>
    <fill>
      <patternFill patternType="none">
        <fgColor rgb="F7CBAF"/>
      </patternFill>
    </fill>
    <fill>
      <patternFill patternType="solid">
        <fgColor rgb="F7CBAF"/>
      </patternFill>
    </fill>
    <fill>
      <patternFill patternType="none">
        <fgColor rgb="1072BD"/>
      </patternFill>
    </fill>
    <fill>
      <patternFill patternType="solid">
        <fgColor rgb="1072BD"/>
      </patternFill>
    </fill>
    <fill>
      <patternFill patternType="none">
        <fgColor rgb="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D5D5D5"/>
      </bottom>
    </border>
    <border>
      <left style="thin"/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/>
      <top style="thin">
        <color rgb="D5D5D5"/>
      </top>
      <bottom style="thin">
        <color rgb="D5D5D5"/>
      </bottom>
    </border>
    <border>
      <left style="thin">
        <color rgb="D5D5D5"/>
      </left>
      <right style="thin">
        <color rgb="D5D5D5"/>
      </right>
      <top style="thin">
        <color rgb="D5D5D5"/>
      </top>
      <bottom style="thin">
        <color rgb="D5D5D5"/>
      </bottom>
    </border>
  </borders>
  <cellStyleXfs count="1">
    <xf numFmtId="0" fontId="0" fillId="0" borderId="0"/>
  </cellStyleXfs>
  <cellXfs count="40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left" vertical="bottom"/>
    </xf>
    <xf numFmtId="0" fontId="7" fillId="11" borderId="8" xfId="0" applyFont="true" applyFill="true" applyBorder="true" applyAlignment="true">
      <alignment horizontal="right" vertical="bottom"/>
    </xf>
    <xf numFmtId="0" fontId="7" fillId="9" borderId="8" xfId="0" applyFont="true" applyFill="true" applyBorder="true" applyAlignment="true">
      <alignment horizontal="center" vertical="bottom"/>
    </xf>
    <xf numFmtId="0" fontId="4" fillId="9" borderId="8" xfId="0" applyFont="true" applyFill="true" applyBorder="true" applyAlignment="true">
      <alignment horizontal="center" vertical="bottom"/>
    </xf>
    <xf numFmtId="0" fontId="7" fillId="9" borderId="8" xfId="0" applyFont="true" applyFill="true" applyBorder="true" applyAlignment="true">
      <alignment horizontal="right" vertical="bottom"/>
    </xf>
    <xf numFmtId="0" fontId="7" fillId="11" borderId="8" xfId="0" applyFont="true" applyFill="true" applyBorder="true" applyAlignment="true">
      <alignment horizontal="center" vertical="bottom"/>
    </xf>
    <xf numFmtId="0" fontId="5" fillId="13" borderId="8" xfId="0" applyFont="true" applyFill="true" applyBorder="true" applyAlignment="true">
      <alignment horizontal="center" vertical="center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center" vertical="bottom"/>
    </xf>
    <xf numFmtId="0" fontId="7" fillId="11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left" vertical="center"/>
    </xf>
    <xf numFmtId="0" fontId="6" fillId="17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left" vertical="bottom"/>
    </xf>
    <xf numFmtId="0" fontId="5" fillId="13" borderId="8" xfId="0" applyFont="true" applyFill="true" applyBorder="true" applyAlignment="true">
      <alignment horizontal="right" vertical="center"/>
    </xf>
    <xf numFmtId="0" fontId="7" fillId="15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left" vertical="bottom"/>
    </xf>
    <xf numFmtId="0" fontId="7" fillId="4" borderId="8" xfId="0" applyFont="true" applyFill="true" applyBorder="true" applyAlignment="true">
      <alignment horizontal="right" vertical="bottom"/>
    </xf>
    <xf numFmtId="0" fontId="7" fillId="4" borderId="8" xfId="0" applyFont="true" applyFill="true" applyBorder="true" applyAlignment="true">
      <alignment horizontal="center" vertical="bottom"/>
    </xf>
    <xf numFmtId="0" fontId="7" fillId="15" borderId="8" xfId="0" applyFont="true" applyFill="true" applyBorder="true" applyAlignment="true">
      <alignment horizontal="left" vertical="bottom"/>
    </xf>
    <xf numFmtId="0" fontId="4" fillId="9" borderId="8" xfId="0" applyFont="true" applyFill="true" applyBorder="true" applyAlignment="true">
      <alignment horizontal="left" vertical="bottom"/>
    </xf>
    <xf numFmtId="0" fontId="7" fillId="3" borderId="8" xfId="0" applyFont="true" applyFill="true" applyBorder="true" applyAlignment="true">
      <alignment horizontal="right" vertical="bottom"/>
    </xf>
    <xf numFmtId="0" fontId="7" fillId="7" borderId="8" xfId="0" applyFont="true" applyFill="true" applyBorder="true" applyAlignment="true">
      <alignment horizontal="left" vertical="bottom"/>
    </xf>
    <xf numFmtId="0" fontId="7" fillId="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center" vertical="bottom"/>
    </xf>
    <xf numFmtId="0" fontId="7" fillId="4" borderId="8" xfId="0" applyFont="true" applyFill="true" applyBorder="true" applyAlignment="true">
      <alignment horizontal="left" vertical="bottom"/>
    </xf>
    <xf numFmtId="0" fontId="4" fillId="3" borderId="8" xfId="0" applyFont="true" applyFill="true" applyBorder="true" applyAlignment="true">
      <alignment horizontal="right" vertical="bottom"/>
    </xf>
    <xf numFmtId="0" fontId="4" fillId="9" borderId="8" xfId="0" applyFont="true" applyFill="true" applyBorder="true" applyAlignment="true">
      <alignment horizontal="right" vertical="bottom"/>
    </xf>
    <xf numFmtId="0" fontId="6" fillId="17" borderId="8" xfId="0" applyFont="true" applyFill="true" applyBorder="true" applyAlignment="true">
      <alignment horizontal="center" vertical="bottom"/>
    </xf>
    <xf numFmtId="0" fontId="7" fillId="3" borderId="8" xfId="0" applyFont="true" applyFill="true" applyBorder="true" applyAlignment="true">
      <alignment horizontal="right" vertical="bottom"/>
    </xf>
    <xf numFmtId="0" fontId="7" fillId="3" borderId="8" xfId="0" applyFont="true" applyFill="true" applyBorder="true" applyAlignment="true">
      <alignment horizontal="center" vertical="bottom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7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</cols>
  <sheetData>
    <row r="1" customHeight="true" ht="70.0">
      <c r="A1" s="12" t="inlineStr">
        <is>
          <t>QuantumHR LLP
            Profit and Loss
            Basis: Accrual
                        From 09/01/2024 To 09/30/2024</t>
        </is>
      </c>
    </row>
    <row r="2">
      <c r="A2" s="13" t="inlineStr">
        <is>
          <t xml:space="preserve">Account </t>
        </is>
      </c>
      <c r="B2" s="13" t="inlineStr">
        <is>
          <t xml:space="preserve">Account Code </t>
        </is>
      </c>
      <c r="C2" s="30" t="inlineStr">
        <is>
          <t xml:space="preserve">Total </t>
        </is>
      </c>
    </row>
    <row r="4">
      <c r="A4" s="6" t="inlineStr">
        <is>
          <t>Operating Income</t>
        </is>
      </c>
      <c r="B4" s="6" t="inlineStr">
        <is>
          <t/>
        </is>
      </c>
      <c r="C4" t="inlineStr">
        <is>
          <t/>
        </is>
      </c>
    </row>
    <row r="5">
      <c r="A5" s="25" t="inlineStr">
        <is>
          <t>Total for Operating Income</t>
        </is>
      </c>
      <c r="B5" t="inlineStr">
        <is>
          <t/>
        </is>
      </c>
      <c r="C5" s="4" t="n">
        <v>0.0</v>
      </c>
    </row>
    <row r="7">
      <c r="A7" s="6" t="inlineStr">
        <is>
          <t>Cost of Goods Sold</t>
        </is>
      </c>
      <c r="B7" s="6" t="inlineStr">
        <is>
          <t/>
        </is>
      </c>
      <c r="C7" t="inlineStr">
        <is>
          <t/>
        </is>
      </c>
    </row>
    <row r="8">
      <c r="A8" s="25" t="inlineStr">
        <is>
          <t>Total for Cost of Goods Sold</t>
        </is>
      </c>
      <c r="B8" t="inlineStr">
        <is>
          <t/>
        </is>
      </c>
      <c r="C8" s="4" t="n">
        <v>0.0</v>
      </c>
    </row>
    <row r="10">
      <c r="A10" s="4" t="inlineStr">
        <is>
          <t>Gross Profit</t>
        </is>
      </c>
      <c r="B10" t="inlineStr">
        <is>
          <t/>
        </is>
      </c>
      <c r="C10" s="4" t="n">
        <f>(C5-C8)</f>
        <v>0.0</v>
      </c>
    </row>
    <row r="12">
      <c r="A12" s="6" t="inlineStr">
        <is>
          <t>Operating Expense</t>
        </is>
      </c>
      <c r="B12" s="6" t="inlineStr">
        <is>
          <t/>
        </is>
      </c>
      <c r="C12" t="inlineStr">
        <is>
          <t/>
        </is>
      </c>
    </row>
    <row r="13">
      <c r="A13" s="6" t="inlineStr">
        <is>
          <t xml:space="preserve">          IT and Internet Expenses</t>
        </is>
      </c>
      <c r="B13" s="6" t="inlineStr">
        <is>
          <t/>
        </is>
      </c>
      <c r="C13" s="10" t="n">
        <v>5.0</v>
      </c>
    </row>
    <row r="14">
      <c r="A14" s="6" t="inlineStr">
        <is>
          <t xml:space="preserve">          Tax Paid Expense</t>
        </is>
      </c>
      <c r="B14" s="6" t="inlineStr">
        <is>
          <t/>
        </is>
      </c>
      <c r="C14" s="10" t="n">
        <v>4.64</v>
      </c>
    </row>
    <row r="15">
      <c r="A15" s="6" t="inlineStr">
        <is>
          <t xml:space="preserve">          4020-Automobile Expense</t>
        </is>
      </c>
      <c r="B15" s="6" t="inlineStr">
        <is>
          <t>4020</t>
        </is>
      </c>
      <c r="C15" s="10" t="n">
        <v>0.0</v>
      </c>
    </row>
    <row r="16">
      <c r="A16" s="6" t="inlineStr">
        <is>
          <t xml:space="preserve">                    4029-Mileage Deduction for Car</t>
        </is>
      </c>
      <c r="B16" s="6" t="inlineStr">
        <is>
          <t>4029</t>
        </is>
      </c>
      <c r="C16" s="10" t="n">
        <v>143.66</v>
      </c>
    </row>
    <row r="17">
      <c r="A17" s="25" t="inlineStr">
        <is>
          <t xml:space="preserve">          Total for 4020-Automobile Expense</t>
        </is>
      </c>
      <c r="B17" t="inlineStr">
        <is>
          <t>4020</t>
        </is>
      </c>
      <c r="C17" s="4" t="n">
        <f>(+(C15)+(C16))</f>
        <v>0.0</v>
      </c>
    </row>
    <row r="19">
      <c r="A19" s="6" t="inlineStr">
        <is>
          <t xml:space="preserve">          4200-Office Expense</t>
        </is>
      </c>
      <c r="B19" s="6" t="inlineStr">
        <is>
          <t>4200</t>
        </is>
      </c>
      <c r="C19" s="10" t="n">
        <v>0.0</v>
      </c>
    </row>
    <row r="20">
      <c r="A20" s="6" t="inlineStr">
        <is>
          <t xml:space="preserve">                    4203-Software Subscription</t>
        </is>
      </c>
      <c r="B20" s="6" t="inlineStr">
        <is>
          <t>4203</t>
        </is>
      </c>
      <c r="C20" s="10" t="n">
        <v>197.19</v>
      </c>
    </row>
    <row r="21">
      <c r="A21" s="25" t="inlineStr">
        <is>
          <t xml:space="preserve">          Total for 4200-Office Expense</t>
        </is>
      </c>
      <c r="B21" t="inlineStr">
        <is>
          <t>4200</t>
        </is>
      </c>
      <c r="C21" s="4" t="n">
        <f>(+(C19)+(C20))</f>
        <v>0.0</v>
      </c>
    </row>
    <row r="23">
      <c r="A23" s="6" t="inlineStr">
        <is>
          <t xml:space="preserve">          4903-Internet and Phone</t>
        </is>
      </c>
      <c r="B23" s="6" t="inlineStr">
        <is>
          <t>4903</t>
        </is>
      </c>
      <c r="C23" s="10" t="n">
        <v>0.0</v>
      </c>
    </row>
    <row r="24">
      <c r="A24" s="6" t="inlineStr">
        <is>
          <t xml:space="preserve">                    4905-Telephone Expense</t>
        </is>
      </c>
      <c r="B24" s="6" t="inlineStr">
        <is>
          <t>4905</t>
        </is>
      </c>
      <c r="C24" s="10" t="n">
        <v>39.0</v>
      </c>
    </row>
    <row r="25">
      <c r="A25" s="25" t="inlineStr">
        <is>
          <t xml:space="preserve">          Total for 4903-Internet and Phone</t>
        </is>
      </c>
      <c r="B25" t="inlineStr">
        <is>
          <t>4903</t>
        </is>
      </c>
      <c r="C25" s="4" t="n">
        <f>(+(C23)+(C24))</f>
        <v>0.0</v>
      </c>
    </row>
    <row r="27">
      <c r="A27" s="6" t="inlineStr">
        <is>
          <t xml:space="preserve">          4800-Travel and Meals</t>
        </is>
      </c>
      <c r="B27" s="6" t="inlineStr">
        <is>
          <t>4800</t>
        </is>
      </c>
      <c r="C27" s="10" t="n">
        <v>0.0</v>
      </c>
    </row>
    <row r="28">
      <c r="A28" s="6" t="inlineStr">
        <is>
          <t xml:space="preserve">                    Deductible Meals</t>
        </is>
      </c>
      <c r="B28" s="6" t="inlineStr">
        <is>
          <t>4850</t>
        </is>
      </c>
      <c r="C28" s="10" t="n">
        <v>48.06</v>
      </c>
    </row>
    <row r="29">
      <c r="A29" s="6" t="inlineStr">
        <is>
          <t xml:space="preserve">                    Meals During Travel</t>
        </is>
      </c>
      <c r="B29" s="6" t="inlineStr">
        <is>
          <t>4852</t>
        </is>
      </c>
      <c r="C29" s="10" t="n">
        <v>234.92</v>
      </c>
    </row>
    <row r="30">
      <c r="A30" s="25" t="inlineStr">
        <is>
          <t xml:space="preserve">          Total for 4800-Travel and Meals</t>
        </is>
      </c>
      <c r="B30" t="inlineStr">
        <is>
          <t>4800</t>
        </is>
      </c>
      <c r="C30" s="4" t="n">
        <f>(+(C27)+(C28)+(C29))</f>
        <v>0.0</v>
      </c>
    </row>
    <row r="32">
      <c r="A32" s="6" t="inlineStr">
        <is>
          <t xml:space="preserve">          Other Expenses</t>
        </is>
      </c>
      <c r="B32" s="6" t="inlineStr">
        <is>
          <t>5100</t>
        </is>
      </c>
      <c r="C32" s="10" t="n">
        <v>0.0</v>
      </c>
    </row>
    <row r="33">
      <c r="A33" s="6" t="inlineStr">
        <is>
          <t xml:space="preserve">                    Postage</t>
        </is>
      </c>
      <c r="B33" s="6" t="inlineStr">
        <is>
          <t>5102</t>
        </is>
      </c>
      <c r="C33" s="10" t="n">
        <v>5.0</v>
      </c>
    </row>
    <row r="34">
      <c r="A34" s="25" t="inlineStr">
        <is>
          <t xml:space="preserve">          Total for Other Expenses</t>
        </is>
      </c>
      <c r="B34" t="inlineStr">
        <is>
          <t>5100</t>
        </is>
      </c>
      <c r="C34" s="4" t="n">
        <f>(+(C32)+(C33))</f>
        <v>0.0</v>
      </c>
    </row>
    <row r="36">
      <c r="A36" s="25" t="inlineStr">
        <is>
          <t>Total for Operating Expense</t>
        </is>
      </c>
      <c r="B36" t="inlineStr">
        <is>
          <t/>
        </is>
      </c>
      <c r="C36" s="4" t="n">
        <f>(+(C13)+(C14)+(C17)+(C21)+(C25)+(C30)+(C34))</f>
        <v>0.0</v>
      </c>
    </row>
    <row r="38">
      <c r="A38" s="4" t="inlineStr">
        <is>
          <t>Operating Profit</t>
        </is>
      </c>
      <c r="B38" t="inlineStr">
        <is>
          <t/>
        </is>
      </c>
      <c r="C38" s="4" t="n">
        <f>((C5-C8)-(+(C13)+(C14)+(C17)+(C21)+(C25)+(C30)+(C34)))</f>
        <v>0.0</v>
      </c>
    </row>
    <row r="40">
      <c r="A40" s="6" t="inlineStr">
        <is>
          <t>Non Operating Income</t>
        </is>
      </c>
      <c r="B40" s="6" t="inlineStr">
        <is>
          <t/>
        </is>
      </c>
      <c r="C40" t="inlineStr">
        <is>
          <t/>
        </is>
      </c>
    </row>
    <row r="41">
      <c r="A41" s="25" t="inlineStr">
        <is>
          <t>Total for Non Operating Income</t>
        </is>
      </c>
      <c r="B41" t="inlineStr">
        <is>
          <t/>
        </is>
      </c>
      <c r="C41" s="4" t="n">
        <v>0.0</v>
      </c>
    </row>
    <row r="43">
      <c r="A43" s="6" t="inlineStr">
        <is>
          <t>Non Operating Expense</t>
        </is>
      </c>
      <c r="B43" s="6" t="inlineStr">
        <is>
          <t/>
        </is>
      </c>
      <c r="C43" t="inlineStr">
        <is>
          <t/>
        </is>
      </c>
    </row>
    <row r="44">
      <c r="A44" s="25" t="inlineStr">
        <is>
          <t>Total for Non Operating Expense</t>
        </is>
      </c>
      <c r="B44" t="inlineStr">
        <is>
          <t/>
        </is>
      </c>
      <c r="C44" s="4" t="n">
        <v>0.0</v>
      </c>
    </row>
    <row r="46">
      <c r="A46" s="4" t="inlineStr">
        <is>
          <t>Net Profit/Loss</t>
        </is>
      </c>
      <c r="B46" t="inlineStr">
        <is>
          <t/>
        </is>
      </c>
      <c r="C46" s="4" t="n">
        <f>(((C5-C8)-(+(C13)+(C14)+(C17)+(C21)+(C25)+(C30)+(C34)))+C41-C44)</f>
        <v>0.0</v>
      </c>
    </row>
    <row r="47">
      <c r="A47" s="12" t="inlineStr">
        <is>
          <t/>
        </is>
      </c>
    </row>
  </sheetData>
  <mergeCells count="2">
    <mergeCell ref="A1:C1"/>
    <mergeCell ref="A47:C4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2024-10-01T10:56:27Z</dcterms:created>
  <dc:creator>Apache POI</dc:creator>
</cp:coreProperties>
</file>