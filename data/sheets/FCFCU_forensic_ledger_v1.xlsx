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Source_Map" sheetId="2" r:id="rId6"/>
    <sheet state="visible" name="Inputs_Calc" sheetId="3" r:id="rId7"/>
    <sheet state="visible" name="Accounts" sheetId="4" r:id="rId8"/>
    <sheet state="visible" name="Reconstructed_Journal" sheetId="5" r:id="rId9"/>
    <sheet state="visible" name="GL_Real" sheetId="6" r:id="rId10"/>
    <sheet state="visible" name="Claims_Timeline" sheetId="7" r:id="rId11"/>
    <sheet state="visible" name="Change_Classifier" sheetId="8" r:id="rId12"/>
    <sheet state="visible" name="GL_Claim_Changes" sheetId="9" r:id="rId13"/>
    <sheet state="visible" name="Comparison" sheetId="10" r:id="rId14"/>
  </sheets>
  <definedNames/>
  <calcPr/>
</workbook>
</file>

<file path=xl/sharedStrings.xml><?xml version="1.0" encoding="utf-8"?>
<sst xmlns="http://schemas.openxmlformats.org/spreadsheetml/2006/main" count="455" uniqueCount="247">
  <si>
    <t>FCFCU FORENSIC ACCOUNTING WORKBOOK</t>
  </si>
  <si>
    <t>Purpose</t>
  </si>
  <si>
    <t>Separate the supportable number from the plaintiff's shifting number; then force every change into an account-coded journal and general ledger.</t>
  </si>
  <si>
    <t>How to use</t>
  </si>
  <si>
    <t>1) Start in Inputs_Calc. 
2) Enter any newly verified publications / sheriff fees / taxes / insurance. 
3) Add each later filing to Claims_Timeline. 
4) Classify each new delta in Change_Classifier. 
5) Review GL_Real, GL_Claim_Changes, and Comparison.</t>
  </si>
  <si>
    <t>Early read</t>
  </si>
  <si>
    <t>The RFA amounts as of 2024-11-19 roll exactly to the May 28, 2025 judgment loan components using 161 days of per-diem interest. The workbook also isolates the later 30-day extra-interest issue and the post-judgment gap to the sheriff-sale return.</t>
  </si>
  <si>
    <t>Core outputs</t>
  </si>
  <si>
    <t>Inputs_Calc</t>
  </si>
  <si>
    <t>Derives the supportable reconstructed amount and the unexplained gap.</t>
  </si>
  <si>
    <t>Reconstructed_Journal + GL_Real</t>
  </si>
  <si>
    <t>Shows the supportable charge stack by account.</t>
  </si>
  <si>
    <t>Claims_Timeline + Change_Classifier + GL_Claim_Changes</t>
  </si>
  <si>
    <t>Shows how their numbers changed from filing to filing.</t>
  </si>
  <si>
    <t>Comparison</t>
  </si>
  <si>
    <t>Shows the gap they still have to explain with documents.</t>
  </si>
  <si>
    <t>Source_ID</t>
  </si>
  <si>
    <t>Doc/Filing Date</t>
  </si>
  <si>
    <t>Document</t>
  </si>
  <si>
    <t>Key Figures Captured</t>
  </si>
  <si>
    <t>Use in Workbook</t>
  </si>
  <si>
    <t>Status</t>
  </si>
  <si>
    <t>S1</t>
  </si>
  <si>
    <t>Request for Admissions</t>
  </si>
  <si>
    <t>L1 $190,685.22; L2 $22,567.41; per diem $23.14 + $4.31 as of 2024-11-19</t>
  </si>
  <si>
    <t>Opening claim / accrual basis</t>
  </si>
  <si>
    <t>Loaded</t>
  </si>
  <si>
    <t>S2</t>
  </si>
  <si>
    <t>Affidavit / Default package</t>
  </si>
  <si>
    <t>Confirms affidavit package exists; use when extracting exact affidavit language</t>
  </si>
  <si>
    <t>Cross-check package</t>
  </si>
  <si>
    <t>S3</t>
  </si>
  <si>
    <t>Amended Default Judgment</t>
  </si>
  <si>
    <t>L1 $194,410.76; L2 $23,261.32; court costs $191.01; attorney fees $3,000.00; total $220,863.09; plus additional interest from 2025-04-29 to judgment</t>
  </si>
  <si>
    <t>Judgment snapshot</t>
  </si>
  <si>
    <t>S4</t>
  </si>
  <si>
    <t>Decree of Foreclosure Returned</t>
  </si>
  <si>
    <t>Sheriff sale fully satisfied; total paid $240,464.20</t>
  </si>
  <si>
    <t>Sale return snapshot</t>
  </si>
  <si>
    <t>S5</t>
  </si>
  <si>
    <t>Report to Sheriff's Sale and Report of No Excess Proceeds</t>
  </si>
  <si>
    <t>Later no-surplus position referenced in case summary</t>
  </si>
  <si>
    <t>Pending exact amount extraction</t>
  </si>
  <si>
    <t>Pending detail</t>
  </si>
  <si>
    <t>S6</t>
  </si>
  <si>
    <t>Petition Determining No Surplus</t>
  </si>
  <si>
    <t>Document exists in archive tree</t>
  </si>
  <si>
    <t>S7</t>
  </si>
  <si>
    <t>Order on Surplus and Nunc Pro Tunc</t>
  </si>
  <si>
    <t>S8</t>
  </si>
  <si>
    <t>Order to Pay Surplus Funds</t>
  </si>
  <si>
    <t>FCFCU SUPPORTABLE NUMBER CALCULATOR</t>
  </si>
  <si>
    <t>DERIVED METRICS</t>
  </si>
  <si>
    <t>Value</t>
  </si>
  <si>
    <t>Case Dates</t>
  </si>
  <si>
    <t>RFA as-of date</t>
  </si>
  <si>
    <t>Days from 2024-11-19 to 2025-04-29</t>
  </si>
  <si>
    <t>Accrual cutoff used by judgment components</t>
  </si>
  <si>
    <t>Accrued Loan 1 to 2025-04-29</t>
  </si>
  <si>
    <t>Judgment date</t>
  </si>
  <si>
    <t>Accrued Loan 2 to 2025-04-29</t>
  </si>
  <si>
    <t>Sheriff sale date</t>
  </si>
  <si>
    <t>Reconstructed subtotal at 2025-04-29</t>
  </si>
  <si>
    <t>RFA / Judgment Inputs</t>
  </si>
  <si>
    <t>Reconstructed total matching judgment components</t>
  </si>
  <si>
    <t>Loan 1 RFA amount</t>
  </si>
  <si>
    <t>Difference vs judgment stated total</t>
  </si>
  <si>
    <t>Loan 2 RFA amount</t>
  </si>
  <si>
    <t>Loan 1 per diem</t>
  </si>
  <si>
    <t>Judgment days exclusive (2025-05-28 - 2025-04-29)</t>
  </si>
  <si>
    <t>Loan 2 per diem</t>
  </si>
  <si>
    <t>Judgment days inclusive</t>
  </si>
  <si>
    <t>Judgment Inputs</t>
  </si>
  <si>
    <t>Selected judgment extra days</t>
  </si>
  <si>
    <t>Judgment court costs</t>
  </si>
  <si>
    <t>Selected extra interest Loan 1</t>
  </si>
  <si>
    <t>Judgment attorney fees</t>
  </si>
  <si>
    <t>Selected extra interest Loan 2</t>
  </si>
  <si>
    <t>Judgment stated total</t>
  </si>
  <si>
    <t>Selected extra interest total</t>
  </si>
  <si>
    <t>Sale return total paid</t>
  </si>
  <si>
    <t>Reconstructed total incl selected extra interest</t>
  </si>
  <si>
    <t>Optional verified post-judgment costs</t>
  </si>
  <si>
    <t>Gap between sale return and reconstructed total</t>
  </si>
  <si>
    <t>Publication costs (enter when sourced)</t>
  </si>
  <si>
    <t>Gap between sale return and naked judgment total</t>
  </si>
  <si>
    <t>Sheriff sale costs (enter when sourced)</t>
  </si>
  <si>
    <t>Known post-judgment costs entered below</t>
  </si>
  <si>
    <t>Taxes / insurance advances (enter when sourced)</t>
  </si>
  <si>
    <t>Remaining unexplained gap after entered costs</t>
  </si>
  <si>
    <t>Interpretation note</t>
  </si>
  <si>
    <t>If F8 = 0.00, the May 28 judgment loan buckets tie exactly to the November 19, 2024 RFA amounts plus 161 days of per-diem interest. F20 is the amount they still need documents to explain if they want to erase surplus.</t>
  </si>
  <si>
    <t>Account Code</t>
  </si>
  <si>
    <t>Account Name</t>
  </si>
  <si>
    <t>Class</t>
  </si>
  <si>
    <t>Use</t>
  </si>
  <si>
    <t>1000</t>
  </si>
  <si>
    <t>Loan 1 claimed indebtedness</t>
  </si>
  <si>
    <t>Claim</t>
  </si>
  <si>
    <t>Opening or stated Loan 1 amount</t>
  </si>
  <si>
    <t>1010</t>
  </si>
  <si>
    <t>Loan 2 claimed indebtedness</t>
  </si>
  <si>
    <t>Opening or stated Loan 2 amount</t>
  </si>
  <si>
    <t>1100</t>
  </si>
  <si>
    <t>Accrued interest adjustment - Loan 1</t>
  </si>
  <si>
    <t>Accrual</t>
  </si>
  <si>
    <t>Interest layer tied to Loan 1</t>
  </si>
  <si>
    <t>1110</t>
  </si>
  <si>
    <t>Accrued interest adjustment - Loan 2</t>
  </si>
  <si>
    <t>Interest layer tied to Loan 2</t>
  </si>
  <si>
    <t>1200</t>
  </si>
  <si>
    <t>Court costs</t>
  </si>
  <si>
    <t>Cost</t>
  </si>
  <si>
    <t>Court costs or filing costs</t>
  </si>
  <si>
    <t>1210</t>
  </si>
  <si>
    <t>Attorney fees</t>
  </si>
  <si>
    <t>Fee</t>
  </si>
  <si>
    <t>Attorney fee claim</t>
  </si>
  <si>
    <t>1220</t>
  </si>
  <si>
    <t>Publication costs</t>
  </si>
  <si>
    <t>Publication / notice publication costs</t>
  </si>
  <si>
    <t>1230</t>
  </si>
  <si>
    <t>Sheriff sale costs</t>
  </si>
  <si>
    <t>Sheriff sale fees and related sale costs</t>
  </si>
  <si>
    <t>1240</t>
  </si>
  <si>
    <t>Taxes and insurance advances</t>
  </si>
  <si>
    <t>Advance</t>
  </si>
  <si>
    <t>Taxes, insurance, or protective advances</t>
  </si>
  <si>
    <t>1250</t>
  </si>
  <si>
    <t>Unexplained / unsupported adjustments</t>
  </si>
  <si>
    <t>Forensic</t>
  </si>
  <si>
    <t>Residual amount not yet tied to documents</t>
  </si>
  <si>
    <t>2999</t>
  </si>
  <si>
    <t>Case offset / suspense</t>
  </si>
  <si>
    <t>Offset</t>
  </si>
  <si>
    <t>Balancing credit for analytical journal entries</t>
  </si>
  <si>
    <t>Date</t>
  </si>
  <si>
    <t>Entry_Group</t>
  </si>
  <si>
    <t>Debit_Acct</t>
  </si>
  <si>
    <t>Debit_Name</t>
  </si>
  <si>
    <t>Credit_Acct</t>
  </si>
  <si>
    <t>Credit_Name</t>
  </si>
  <si>
    <t>Amount</t>
  </si>
  <si>
    <t>Formula_Work</t>
  </si>
  <si>
    <t>Support_Status</t>
  </si>
  <si>
    <t>Notes</t>
  </si>
  <si>
    <t>OPEN</t>
  </si>
  <si>
    <t>RFA opening Loan 1 claim</t>
  </si>
  <si>
    <t>As of 2024-11-19</t>
  </si>
  <si>
    <t>RFA opening Loan 2 claim</t>
  </si>
  <si>
    <t>CALC</t>
  </si>
  <si>
    <t>ACCRUAL</t>
  </si>
  <si>
    <t>161 days * Loan 1 per diem</t>
  </si>
  <si>
    <t>Derived</t>
  </si>
  <si>
    <t>Brings Loan 1 from RFA to 2025-04-29</t>
  </si>
  <si>
    <t>161 days * Loan 2 per diem</t>
  </si>
  <si>
    <t>Brings Loan 2 from RFA to 2025-04-29</t>
  </si>
  <si>
    <t>COST</t>
  </si>
  <si>
    <t>From amended default judgment</t>
  </si>
  <si>
    <t>FEE</t>
  </si>
  <si>
    <t>S3/CALC</t>
  </si>
  <si>
    <t>EXTRA_INT</t>
  </si>
  <si>
    <t>Selected judgment extra-interest days * Loan 1 per diem</t>
  </si>
  <si>
    <t>Default set to inclusive 30-day count</t>
  </si>
  <si>
    <t>Selected judgment extra-interest days * Loan 2 per diem</t>
  </si>
  <si>
    <t>USER</t>
  </si>
  <si>
    <t>POSTJG_COST</t>
  </si>
  <si>
    <t>Enter only when sourced</t>
  </si>
  <si>
    <t>Pending</t>
  </si>
  <si>
    <t>Currently zero until verified</t>
  </si>
  <si>
    <t>AUTO</t>
  </si>
  <si>
    <t>RESIDUAL</t>
  </si>
  <si>
    <t>Residual sale-return gap after all entered costs</t>
  </si>
  <si>
    <t>This is the bucket they still have to document</t>
  </si>
  <si>
    <t>GL Amount</t>
  </si>
  <si>
    <t>Entry Count</t>
  </si>
  <si>
    <t>Opening claim only; accrual layers sit in 1100</t>
  </si>
  <si>
    <t>Opening claim only; accrual layers sit in 1110</t>
  </si>
  <si>
    <t>Pre-4/29 accrual plus selected extra-interest layer</t>
  </si>
  <si>
    <t>From judgment</t>
  </si>
  <si>
    <t>User-enter once sourced</t>
  </si>
  <si>
    <t>Residual they still have to prove</t>
  </si>
  <si>
    <t>TOTAL SUPPORTABLE / FORENSIC CHARGE STACK</t>
  </si>
  <si>
    <t>Should tie to Inputs_Calc!F16 + entered post-judgment costs + residual</t>
  </si>
  <si>
    <t>Version#</t>
  </si>
  <si>
    <t>Doc Date</t>
  </si>
  <si>
    <t>Loan 1</t>
  </si>
  <si>
    <t>Loan 2</t>
  </si>
  <si>
    <t>Court Costs</t>
  </si>
  <si>
    <t>Attorney Fees</t>
  </si>
  <si>
    <t>Other / Extra Interest</t>
  </si>
  <si>
    <t>Other Costs / Advances</t>
  </si>
  <si>
    <t>Total Asserted</t>
  </si>
  <si>
    <t>Delta vs Prior</t>
  </si>
  <si>
    <t>Delta %</t>
  </si>
  <si>
    <t>Classification Note</t>
  </si>
  <si>
    <t>Request for Admissions (amounts stated as of 2024-11-19)</t>
  </si>
  <si>
    <t>Opening snapshot only</t>
  </si>
  <si>
    <t>Text also states extra interest from 2025-04-29 to judgment</t>
  </si>
  <si>
    <t>Decree of Foreclosure Returned / fully satisfied by sheriff sale</t>
  </si>
  <si>
    <t>Total paid only; bucket split pending</t>
  </si>
  <si>
    <t>Enter exact no-excess figure once extracted</t>
  </si>
  <si>
    <t>Enter exact petition number once extracted</t>
  </si>
  <si>
    <t>Enter exact court figure once extracted</t>
  </si>
  <si>
    <t>Enter exact paid / ordered surplus figure once extracted</t>
  </si>
  <si>
    <t>Amount Change</t>
  </si>
  <si>
    <t>Basis</t>
  </si>
  <si>
    <t>Loan 1 increase from RFA to judgment</t>
  </si>
  <si>
    <t>Ties exactly to 161 days * $23.14</t>
  </si>
  <si>
    <t>Loan 2 increase from RFA to judgment</t>
  </si>
  <si>
    <t>Ties exactly to 161 days * $4.31</t>
  </si>
  <si>
    <t>Court costs added at judgment</t>
  </si>
  <si>
    <t>Attorney fees added at judgment</t>
  </si>
  <si>
    <t>Sale-return increase over judgment snapshot</t>
  </si>
  <si>
    <t>This is the first big unexplained jump unless later allocated to proven costs</t>
  </si>
  <si>
    <t>No-excess report delta vs prior snapshot</t>
  </si>
  <si>
    <t>Fill once exact amount extracted</t>
  </si>
  <si>
    <t>Petition no-surplus delta vs prior snapshot</t>
  </si>
  <si>
    <t>Order on surplus / nunc pro tunc delta vs prior snapshot</t>
  </si>
  <si>
    <t>2100</t>
  </si>
  <si>
    <t>Surplus payable</t>
  </si>
  <si>
    <t>Order to pay surplus funds delta vs prior snapshot</t>
  </si>
  <si>
    <t>Use positive number for surplus ordered / recognized</t>
  </si>
  <si>
    <t>Change Ledger Amount</t>
  </si>
  <si>
    <t>Version-to-version changes only</t>
  </si>
  <si>
    <t>This is where their moving target shows up first</t>
  </si>
  <si>
    <t>Populate once the court-ordered surplus figure is entered</t>
  </si>
  <si>
    <t>TOTAL PLAINTIFF VERSION-TO-VERSION CHANGE STACK</t>
  </si>
  <si>
    <t>Should approximate latest asserted total less opening snapshot, once all later figures are filled</t>
  </si>
  <si>
    <t>COMPARISON METRIC</t>
  </si>
  <si>
    <t>Meaning</t>
  </si>
  <si>
    <t>Opening RFA claim total</t>
  </si>
  <si>
    <t>Their earliest loaded numeric snapshot</t>
  </si>
  <si>
    <t>Judgment stated total (without extra-interest bucket)</t>
  </si>
  <si>
    <t>The May 28, 2025 judgment number in the order</t>
  </si>
  <si>
    <t>Reconstructed total incl selected judgment extra interest</t>
  </si>
  <si>
    <t>Supportable total using RFA + 161-day accrual + court costs + attorney fees + selected extra-interest days</t>
  </si>
  <si>
    <t>Sheriff-sale return total paid</t>
  </si>
  <si>
    <t>The September 9, 2025 fully satisfied sale-return figure</t>
  </si>
  <si>
    <t>Amount requiring documentary support to erase surplus</t>
  </si>
  <si>
    <t>Residual post-judgment amount not yet tied to publications, sheriff fees, taxes, insurance, or another source-backed charge</t>
  </si>
  <si>
    <t>Sale-return jump over judgment stated total</t>
  </si>
  <si>
    <t>Bigger version-to-version jump if you ignore the extra-interest layer completely</t>
  </si>
  <si>
    <t>Judgment-vs-reconstruction tie check</t>
  </si>
  <si>
    <t>If zero, the judgment loan components exactly match the 161-day accrual math from the RFA base</t>
  </si>
  <si>
    <t>Current user-entered verified post-judgment costs</t>
  </si>
  <si>
    <t>Only costs you have actually sourced and entered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</si>
</sst>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$#,##0.00"/>
    <numFmt numFmtId="166" formatCode="0.0%"/>
  </numFmts>
  <fonts count="8">
    <font>
      <sz val="11.0"/>
      <color rgb="FF000000"/>
      <name val="Carlito"/>
      <scheme val="minor"/>
    </font>
    <font>
      <b/>
      <sz val="20.0"/>
      <color theme="1"/>
      <name val="Carlito"/>
    </font>
    <font>
      <b/>
      <sz val="14.0"/>
      <color theme="1"/>
      <name val="Carlito"/>
    </font>
    <font>
      <sz val="16.0"/>
      <color theme="1"/>
      <name val="Carlito"/>
    </font>
    <font>
      <sz val="11.0"/>
      <color theme="1"/>
      <name val="Carlito"/>
    </font>
    <font>
      <b/>
      <sz val="15.0"/>
      <color theme="1"/>
      <name val="Carlito"/>
    </font>
    <font>
      <b/>
      <sz val="11.0"/>
      <color theme="1"/>
      <name val="Carlito"/>
    </font>
    <font>
      <color theme="1"/>
      <name val="Carlito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right" shrinkToFit="0" vertical="top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0" fontId="5" numFmtId="0" xfId="0" applyAlignment="1" applyFont="1">
      <alignment horizontal="center" shrinkToFit="0" vertical="top" wrapText="1"/>
    </xf>
    <xf borderId="0" fillId="0" fontId="6" numFmtId="0" xfId="0" applyAlignment="1" applyFont="1">
      <alignment horizontal="center" shrinkToFit="0" vertical="top" wrapText="1"/>
    </xf>
    <xf borderId="0" fillId="0" fontId="6" numFmtId="0" xfId="0" applyAlignment="1" applyFont="1">
      <alignment horizontal="right" shrinkToFit="0" vertical="top" wrapText="1"/>
    </xf>
    <xf borderId="0" fillId="0" fontId="7" numFmtId="0" xfId="0" applyAlignment="1" applyFont="1">
      <alignment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shrinkToFit="0" vertical="top" wrapText="0"/>
    </xf>
    <xf borderId="0" fillId="0" fontId="4" numFmtId="164" xfId="0" applyAlignment="1" applyFont="1" applyNumberFormat="1">
      <alignment shrinkToFit="0" vertical="top" wrapText="0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2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top"/>
    </xf>
    <xf borderId="0" fillId="0" fontId="4" numFmtId="164" xfId="0" applyAlignment="1" applyFont="1" applyNumberFormat="1">
      <alignment vertical="top"/>
    </xf>
    <xf borderId="0" fillId="0" fontId="4" numFmtId="1" xfId="0" applyAlignment="1" applyFont="1" applyNumberFormat="1">
      <alignment vertical="top"/>
    </xf>
    <xf borderId="0" fillId="0" fontId="4" numFmtId="165" xfId="0" applyAlignment="1" applyFont="1" applyNumberFormat="1">
      <alignment vertical="top"/>
    </xf>
    <xf borderId="0" fillId="0" fontId="6" numFmtId="0" xfId="0" applyAlignment="1" applyFont="1">
      <alignment horizontal="center" vertical="top"/>
    </xf>
    <xf borderId="0" fillId="0" fontId="4" numFmtId="0" xfId="0" applyAlignment="1" applyFont="1">
      <alignment shrinkToFit="0" wrapText="1"/>
    </xf>
    <xf borderId="0" fillId="0" fontId="4" numFmtId="164" xfId="0" applyAlignment="1" applyFont="1" applyNumberFormat="1">
      <alignment shrinkToFit="0" vertical="top" wrapText="1"/>
    </xf>
    <xf borderId="0" fillId="0" fontId="4" numFmtId="165" xfId="0" applyAlignment="1" applyFont="1" applyNumberFormat="1">
      <alignment shrinkToFit="0" vertical="top" wrapText="1"/>
    </xf>
    <xf borderId="0" fillId="0" fontId="4" numFmtId="165" xfId="0" applyAlignment="1" applyFont="1" applyNumberFormat="1">
      <alignment shrinkToFit="0" wrapText="1"/>
    </xf>
    <xf borderId="0" fillId="0" fontId="4" numFmtId="166" xfId="0" applyAlignment="1" applyFont="1" applyNumberFormat="1">
      <alignment shrinkToFit="0" vertical="top" wrapText="1"/>
    </xf>
    <xf borderId="0" fillId="0" fontId="7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ource_Map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9" displayName="Document_Source_Map" name="Document_Source_Map" id="1">
  <tableColumns count="6">
    <tableColumn name="Source_ID" id="1"/>
    <tableColumn name="Doc/Filing Date" id="2"/>
    <tableColumn name="Document" id="3"/>
    <tableColumn name="Key Figures Captured" id="4"/>
    <tableColumn name="Use in Workbook" id="5"/>
    <tableColumn name="Status" id="6"/>
  </tableColumns>
  <tableStyleInfo name="Source_Ma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34.63"/>
    <col customWidth="1" min="3" max="3" width="41.0"/>
    <col customWidth="1" min="4" max="8" width="15.0"/>
    <col customWidth="1" min="9" max="26" width="8.63"/>
  </cols>
  <sheetData>
    <row r="1" ht="35.25" customHeight="1">
      <c r="A1" s="1" t="s">
        <v>0</v>
      </c>
      <c r="D1" s="2"/>
      <c r="E1" s="2"/>
      <c r="F1" s="2"/>
      <c r="G1" s="2"/>
      <c r="H1" s="2"/>
    </row>
    <row r="2" ht="70.5" customHeight="1">
      <c r="A2" s="3" t="s">
        <v>1</v>
      </c>
      <c r="B2" s="4" t="s">
        <v>2</v>
      </c>
    </row>
    <row r="3" ht="68.25" customHeight="1">
      <c r="A3" s="3" t="s">
        <v>3</v>
      </c>
      <c r="B3" s="5" t="s">
        <v>4</v>
      </c>
    </row>
    <row r="4" ht="57.0" customHeight="1">
      <c r="A4" s="3" t="s">
        <v>5</v>
      </c>
      <c r="B4" s="4" t="s">
        <v>6</v>
      </c>
    </row>
    <row r="5">
      <c r="A5" s="6" t="s">
        <v>7</v>
      </c>
      <c r="B5" s="7"/>
    </row>
    <row r="6">
      <c r="A6" s="7"/>
      <c r="B6" s="8" t="s">
        <v>8</v>
      </c>
      <c r="C6" s="9" t="s">
        <v>9</v>
      </c>
    </row>
    <row r="7">
      <c r="A7" s="7"/>
      <c r="B7" s="8" t="s">
        <v>10</v>
      </c>
      <c r="C7" s="9" t="s">
        <v>11</v>
      </c>
    </row>
    <row r="8">
      <c r="A8" s="7"/>
      <c r="B8" s="8" t="s">
        <v>12</v>
      </c>
      <c r="C8" s="9" t="s">
        <v>13</v>
      </c>
    </row>
    <row r="9">
      <c r="A9" s="7"/>
      <c r="B9" s="8" t="s">
        <v>14</v>
      </c>
      <c r="C9" s="9" t="s">
        <v>15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A1:C1"/>
    <mergeCell ref="B2:C2"/>
    <mergeCell ref="B3:C3"/>
    <mergeCell ref="B4:C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0"/>
    <col customWidth="1" min="2" max="2" width="18.63"/>
    <col customWidth="1" min="3" max="3" width="34.0"/>
    <col customWidth="1" min="4" max="4" width="78.0"/>
    <col customWidth="1" min="5" max="5" width="28.0"/>
    <col customWidth="1" min="6" max="6" width="16.0"/>
    <col customWidth="1" min="7" max="26" width="8.63"/>
  </cols>
  <sheetData>
    <row r="1" ht="22.5" customHeight="1">
      <c r="A1" s="10" t="s">
        <v>16</v>
      </c>
      <c r="B1" s="10" t="s">
        <v>17</v>
      </c>
      <c r="C1" s="10" t="s">
        <v>18</v>
      </c>
      <c r="D1" s="10" t="s">
        <v>19</v>
      </c>
      <c r="E1" s="10" t="s">
        <v>20</v>
      </c>
      <c r="F1" s="10" t="s">
        <v>21</v>
      </c>
    </row>
    <row r="2" ht="22.5" customHeight="1">
      <c r="A2" s="11" t="s">
        <v>22</v>
      </c>
      <c r="B2" s="12">
        <v>45673.0</v>
      </c>
      <c r="C2" s="13" t="s">
        <v>23</v>
      </c>
      <c r="D2" s="13" t="s">
        <v>24</v>
      </c>
      <c r="E2" s="13" t="s">
        <v>25</v>
      </c>
      <c r="F2" s="14" t="s">
        <v>26</v>
      </c>
    </row>
    <row r="3" ht="22.5" customHeight="1">
      <c r="A3" s="11" t="s">
        <v>27</v>
      </c>
      <c r="B3" s="12">
        <v>45790.0</v>
      </c>
      <c r="C3" s="13" t="s">
        <v>28</v>
      </c>
      <c r="D3" s="13" t="s">
        <v>29</v>
      </c>
      <c r="E3" s="13" t="s">
        <v>30</v>
      </c>
      <c r="F3" s="14" t="s">
        <v>26</v>
      </c>
    </row>
    <row r="4" ht="22.5" customHeight="1">
      <c r="A4" s="11" t="s">
        <v>31</v>
      </c>
      <c r="B4" s="12">
        <v>45805.0</v>
      </c>
      <c r="C4" s="13" t="s">
        <v>32</v>
      </c>
      <c r="D4" s="13" t="s">
        <v>33</v>
      </c>
      <c r="E4" s="13" t="s">
        <v>34</v>
      </c>
      <c r="F4" s="14" t="s">
        <v>26</v>
      </c>
    </row>
    <row r="5" ht="22.5" customHeight="1">
      <c r="A5" s="11" t="s">
        <v>35</v>
      </c>
      <c r="B5" s="12">
        <v>45909.0</v>
      </c>
      <c r="C5" s="13" t="s">
        <v>36</v>
      </c>
      <c r="D5" s="13" t="s">
        <v>37</v>
      </c>
      <c r="E5" s="13" t="s">
        <v>38</v>
      </c>
      <c r="F5" s="14" t="s">
        <v>26</v>
      </c>
    </row>
    <row r="6" ht="22.5" customHeight="1">
      <c r="A6" s="11" t="s">
        <v>39</v>
      </c>
      <c r="B6" s="12">
        <v>46008.0</v>
      </c>
      <c r="C6" s="13" t="s">
        <v>40</v>
      </c>
      <c r="D6" s="13" t="s">
        <v>41</v>
      </c>
      <c r="E6" s="13" t="s">
        <v>42</v>
      </c>
      <c r="F6" s="14" t="s">
        <v>43</v>
      </c>
    </row>
    <row r="7" ht="22.5" customHeight="1">
      <c r="A7" s="11" t="s">
        <v>44</v>
      </c>
      <c r="B7" s="12">
        <v>46077.0</v>
      </c>
      <c r="C7" s="13" t="s">
        <v>45</v>
      </c>
      <c r="D7" s="13" t="s">
        <v>46</v>
      </c>
      <c r="E7" s="13" t="s">
        <v>42</v>
      </c>
      <c r="F7" s="14" t="s">
        <v>43</v>
      </c>
    </row>
    <row r="8" ht="22.5" customHeight="1">
      <c r="A8" s="11" t="s">
        <v>47</v>
      </c>
      <c r="B8" s="12">
        <v>46079.0</v>
      </c>
      <c r="C8" s="13" t="s">
        <v>48</v>
      </c>
      <c r="D8" s="13" t="s">
        <v>46</v>
      </c>
      <c r="E8" s="13" t="s">
        <v>42</v>
      </c>
      <c r="F8" s="14" t="s">
        <v>43</v>
      </c>
    </row>
    <row r="9" ht="22.5" customHeight="1">
      <c r="A9" s="11" t="s">
        <v>49</v>
      </c>
      <c r="B9" s="12">
        <v>46083.0</v>
      </c>
      <c r="C9" s="13" t="s">
        <v>50</v>
      </c>
      <c r="D9" s="13" t="s">
        <v>46</v>
      </c>
      <c r="E9" s="13" t="s">
        <v>42</v>
      </c>
      <c r="F9" s="14" t="s">
        <v>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F2:F9">
      <formula1>"Loaded,Pending detail"</formula1>
    </dataValidation>
    <dataValidation type="custom" allowBlank="1" showDropDown="1" sqref="B2:B9">
      <formula1>OR(NOT(ISERROR(DATEVALUE(B2))), AND(ISNUMBER(B2), LEFT(CELL("format", B2))="D"))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0"/>
    <col customWidth="1" min="2" max="2" width="16.0"/>
    <col customWidth="1" min="3" max="4" width="6.0"/>
    <col customWidth="1" min="5" max="5" width="44.0"/>
    <col customWidth="1" min="6" max="6" width="18.0"/>
    <col customWidth="1" min="7" max="7" width="6.0"/>
    <col customWidth="1" min="8" max="26" width="8.63"/>
  </cols>
  <sheetData>
    <row r="1">
      <c r="A1" s="15" t="s">
        <v>51</v>
      </c>
      <c r="B1" s="15"/>
      <c r="C1" s="2"/>
      <c r="D1" s="2"/>
      <c r="E1" s="15" t="s">
        <v>52</v>
      </c>
      <c r="F1" s="15" t="s">
        <v>53</v>
      </c>
      <c r="G1" s="2"/>
    </row>
    <row r="2">
      <c r="A2" s="16" t="s">
        <v>54</v>
      </c>
      <c r="B2" s="16"/>
    </row>
    <row r="3">
      <c r="A3" s="17" t="s">
        <v>55</v>
      </c>
      <c r="B3" s="18">
        <v>45615.0</v>
      </c>
      <c r="C3" s="17"/>
      <c r="D3" s="17"/>
      <c r="E3" s="17" t="s">
        <v>56</v>
      </c>
      <c r="F3" s="19">
        <f>B4-B3</f>
        <v>161</v>
      </c>
    </row>
    <row r="4">
      <c r="A4" s="17" t="s">
        <v>57</v>
      </c>
      <c r="B4" s="18">
        <v>45776.0</v>
      </c>
      <c r="C4" s="17"/>
      <c r="D4" s="17"/>
      <c r="E4" s="17" t="s">
        <v>58</v>
      </c>
      <c r="F4" s="20">
        <f>F3*B10</f>
        <v>3725.54</v>
      </c>
    </row>
    <row r="5">
      <c r="A5" s="17" t="s">
        <v>59</v>
      </c>
      <c r="B5" s="18">
        <v>45805.0</v>
      </c>
      <c r="C5" s="17"/>
      <c r="D5" s="17"/>
      <c r="E5" s="17" t="s">
        <v>60</v>
      </c>
      <c r="F5" s="20">
        <f>F3*B11</f>
        <v>693.91</v>
      </c>
    </row>
    <row r="6">
      <c r="A6" s="17" t="s">
        <v>61</v>
      </c>
      <c r="B6" s="18">
        <v>45884.0</v>
      </c>
      <c r="C6" s="17"/>
      <c r="D6" s="17"/>
      <c r="E6" s="17" t="s">
        <v>62</v>
      </c>
      <c r="F6" s="20">
        <f>SUM(B7:B8,F4:F5)</f>
        <v>195104.67</v>
      </c>
    </row>
    <row r="7">
      <c r="A7" s="21" t="s">
        <v>63</v>
      </c>
      <c r="B7" s="17"/>
      <c r="C7" s="17"/>
      <c r="D7" s="17"/>
      <c r="E7" s="17" t="s">
        <v>64</v>
      </c>
      <c r="F7" s="20">
        <f>F6+B13+B14</f>
        <v>198295.68</v>
      </c>
    </row>
    <row r="8">
      <c r="A8" s="17" t="s">
        <v>65</v>
      </c>
      <c r="B8" s="20">
        <v>190685.22</v>
      </c>
      <c r="C8" s="17"/>
      <c r="D8" s="17"/>
      <c r="E8" s="17" t="s">
        <v>66</v>
      </c>
      <c r="F8" s="20">
        <f>B15-F7</f>
        <v>22567.41</v>
      </c>
    </row>
    <row r="9">
      <c r="A9" s="17" t="s">
        <v>67</v>
      </c>
      <c r="B9" s="20">
        <v>22567.41</v>
      </c>
      <c r="C9" s="17"/>
      <c r="D9" s="17"/>
      <c r="E9" s="17"/>
      <c r="F9" s="17"/>
    </row>
    <row r="10">
      <c r="A10" s="17" t="s">
        <v>68</v>
      </c>
      <c r="B10" s="20">
        <v>23.14</v>
      </c>
      <c r="C10" s="17"/>
      <c r="D10" s="17"/>
      <c r="E10" s="17" t="s">
        <v>69</v>
      </c>
      <c r="F10" s="19">
        <f>B5-B4</f>
        <v>29</v>
      </c>
    </row>
    <row r="11">
      <c r="A11" s="17" t="s">
        <v>70</v>
      </c>
      <c r="B11" s="20">
        <v>4.31</v>
      </c>
      <c r="C11" s="17"/>
      <c r="D11" s="17"/>
      <c r="E11" s="17" t="s">
        <v>71</v>
      </c>
      <c r="F11" s="19">
        <f>B5-B4+1</f>
        <v>30</v>
      </c>
    </row>
    <row r="12">
      <c r="A12" s="21" t="s">
        <v>72</v>
      </c>
      <c r="B12" s="20"/>
      <c r="C12" s="17"/>
      <c r="D12" s="17"/>
      <c r="E12" s="17" t="s">
        <v>73</v>
      </c>
      <c r="F12" s="19">
        <f>F10</f>
        <v>29</v>
      </c>
    </row>
    <row r="13">
      <c r="A13" s="17" t="s">
        <v>74</v>
      </c>
      <c r="B13" s="20">
        <v>191.01</v>
      </c>
      <c r="C13" s="17"/>
      <c r="D13" s="17"/>
      <c r="E13" s="17" t="s">
        <v>75</v>
      </c>
      <c r="F13" s="20">
        <f>F12*B10</f>
        <v>671.06</v>
      </c>
    </row>
    <row r="14">
      <c r="A14" s="17" t="s">
        <v>76</v>
      </c>
      <c r="B14" s="20">
        <v>3000.0</v>
      </c>
      <c r="C14" s="17"/>
      <c r="D14" s="17"/>
      <c r="E14" s="17" t="s">
        <v>77</v>
      </c>
      <c r="F14" s="20">
        <f>F12*B11</f>
        <v>124.99</v>
      </c>
    </row>
    <row r="15">
      <c r="A15" s="17" t="s">
        <v>78</v>
      </c>
      <c r="B15" s="20">
        <v>220863.09</v>
      </c>
      <c r="C15" s="17"/>
      <c r="D15" s="17"/>
      <c r="E15" s="17" t="s">
        <v>79</v>
      </c>
      <c r="F15" s="20">
        <f>SUM(F13:F14)</f>
        <v>796.05</v>
      </c>
    </row>
    <row r="16">
      <c r="A16" s="17" t="s">
        <v>80</v>
      </c>
      <c r="B16" s="20">
        <v>240464.2</v>
      </c>
      <c r="C16" s="17"/>
      <c r="D16" s="17"/>
      <c r="E16" s="17" t="s">
        <v>81</v>
      </c>
      <c r="F16" s="20">
        <f>F7+F15</f>
        <v>199091.73</v>
      </c>
    </row>
    <row r="17">
      <c r="A17" s="21" t="s">
        <v>82</v>
      </c>
      <c r="B17" s="20"/>
      <c r="C17" s="17"/>
      <c r="D17" s="17"/>
      <c r="E17" s="17" t="s">
        <v>83</v>
      </c>
      <c r="F17" s="20">
        <f>B16-F16</f>
        <v>41372.47</v>
      </c>
    </row>
    <row r="18">
      <c r="A18" s="17" t="s">
        <v>84</v>
      </c>
      <c r="B18" s="20">
        <v>0.0</v>
      </c>
      <c r="C18" s="17"/>
      <c r="D18" s="17"/>
      <c r="E18" s="17" t="s">
        <v>85</v>
      </c>
      <c r="F18" s="20">
        <f>B16-B15</f>
        <v>19601.11</v>
      </c>
    </row>
    <row r="19">
      <c r="A19" s="17" t="s">
        <v>86</v>
      </c>
      <c r="B19" s="20">
        <v>0.0</v>
      </c>
      <c r="C19" s="17"/>
      <c r="D19" s="17"/>
      <c r="E19" s="17" t="s">
        <v>87</v>
      </c>
      <c r="F19" s="20">
        <f>SUM(B18:B20)</f>
        <v>0</v>
      </c>
    </row>
    <row r="20">
      <c r="A20" s="17" t="s">
        <v>88</v>
      </c>
      <c r="B20" s="20">
        <v>0.0</v>
      </c>
      <c r="C20" s="17"/>
      <c r="D20" s="17"/>
      <c r="E20" s="17" t="s">
        <v>89</v>
      </c>
      <c r="F20" s="20">
        <f>F17-F19</f>
        <v>41372.47</v>
      </c>
    </row>
    <row r="21" ht="15.75" customHeight="1"/>
    <row r="22" ht="15.75" customHeight="1">
      <c r="A22" s="22" t="s">
        <v>90</v>
      </c>
      <c r="B22" s="22" t="s">
        <v>91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36.0"/>
    <col customWidth="1" min="3" max="3" width="16.0"/>
    <col customWidth="1" min="4" max="4" width="54.0"/>
    <col customWidth="1" min="5" max="26" width="8.63"/>
  </cols>
  <sheetData>
    <row r="1">
      <c r="A1" s="15" t="s">
        <v>92</v>
      </c>
      <c r="B1" s="15" t="s">
        <v>93</v>
      </c>
      <c r="C1" s="15" t="s">
        <v>94</v>
      </c>
      <c r="D1" s="15" t="s">
        <v>95</v>
      </c>
    </row>
    <row r="2">
      <c r="A2" s="22" t="s">
        <v>96</v>
      </c>
      <c r="B2" s="22" t="s">
        <v>97</v>
      </c>
      <c r="C2" s="22" t="s">
        <v>98</v>
      </c>
      <c r="D2" s="22" t="s">
        <v>99</v>
      </c>
    </row>
    <row r="3">
      <c r="A3" s="22" t="s">
        <v>100</v>
      </c>
      <c r="B3" s="22" t="s">
        <v>101</v>
      </c>
      <c r="C3" s="22" t="s">
        <v>98</v>
      </c>
      <c r="D3" s="22" t="s">
        <v>102</v>
      </c>
    </row>
    <row r="4">
      <c r="A4" s="22" t="s">
        <v>103</v>
      </c>
      <c r="B4" s="22" t="s">
        <v>104</v>
      </c>
      <c r="C4" s="22" t="s">
        <v>105</v>
      </c>
      <c r="D4" s="22" t="s">
        <v>106</v>
      </c>
    </row>
    <row r="5">
      <c r="A5" s="22" t="s">
        <v>107</v>
      </c>
      <c r="B5" s="22" t="s">
        <v>108</v>
      </c>
      <c r="C5" s="22" t="s">
        <v>105</v>
      </c>
      <c r="D5" s="22" t="s">
        <v>109</v>
      </c>
    </row>
    <row r="6">
      <c r="A6" s="22" t="s">
        <v>110</v>
      </c>
      <c r="B6" s="22" t="s">
        <v>111</v>
      </c>
      <c r="C6" s="22" t="s">
        <v>112</v>
      </c>
      <c r="D6" s="22" t="s">
        <v>113</v>
      </c>
    </row>
    <row r="7">
      <c r="A7" s="22" t="s">
        <v>114</v>
      </c>
      <c r="B7" s="22" t="s">
        <v>115</v>
      </c>
      <c r="C7" s="22" t="s">
        <v>116</v>
      </c>
      <c r="D7" s="22" t="s">
        <v>117</v>
      </c>
    </row>
    <row r="8">
      <c r="A8" s="22" t="s">
        <v>118</v>
      </c>
      <c r="B8" s="22" t="s">
        <v>119</v>
      </c>
      <c r="C8" s="22" t="s">
        <v>112</v>
      </c>
      <c r="D8" s="22" t="s">
        <v>120</v>
      </c>
    </row>
    <row r="9">
      <c r="A9" s="22" t="s">
        <v>121</v>
      </c>
      <c r="B9" s="22" t="s">
        <v>122</v>
      </c>
      <c r="C9" s="22" t="s">
        <v>112</v>
      </c>
      <c r="D9" s="22" t="s">
        <v>123</v>
      </c>
    </row>
    <row r="10">
      <c r="A10" s="22" t="s">
        <v>124</v>
      </c>
      <c r="B10" s="22" t="s">
        <v>125</v>
      </c>
      <c r="C10" s="22" t="s">
        <v>126</v>
      </c>
      <c r="D10" s="22" t="s">
        <v>127</v>
      </c>
    </row>
    <row r="11">
      <c r="A11" s="22" t="s">
        <v>128</v>
      </c>
      <c r="B11" s="22" t="s">
        <v>129</v>
      </c>
      <c r="C11" s="22" t="s">
        <v>130</v>
      </c>
      <c r="D11" s="22" t="s">
        <v>131</v>
      </c>
    </row>
    <row r="12">
      <c r="A12" s="22" t="s">
        <v>132</v>
      </c>
      <c r="B12" s="22" t="s">
        <v>133</v>
      </c>
      <c r="C12" s="22" t="s">
        <v>134</v>
      </c>
      <c r="D12" s="22" t="s">
        <v>135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10.0"/>
    <col customWidth="1" min="3" max="3" width="14.0"/>
    <col customWidth="1" min="4" max="4" width="12.0"/>
    <col customWidth="1" min="5" max="5" width="34.0"/>
    <col customWidth="1" min="6" max="6" width="12.0"/>
    <col customWidth="1" min="7" max="7" width="24.0"/>
    <col customWidth="1" min="8" max="8" width="14.0"/>
    <col customWidth="1" min="9" max="9" width="38.0"/>
    <col customWidth="1" min="10" max="10" width="14.0"/>
    <col customWidth="1" min="11" max="11" width="42.0"/>
    <col customWidth="1" min="12" max="26" width="8.63"/>
  </cols>
  <sheetData>
    <row r="1">
      <c r="A1" s="15" t="s">
        <v>136</v>
      </c>
      <c r="B1" s="15" t="s">
        <v>16</v>
      </c>
      <c r="C1" s="15" t="s">
        <v>137</v>
      </c>
      <c r="D1" s="15" t="s">
        <v>138</v>
      </c>
      <c r="E1" s="15" t="s">
        <v>139</v>
      </c>
      <c r="F1" s="15" t="s">
        <v>140</v>
      </c>
      <c r="G1" s="15" t="s">
        <v>141</v>
      </c>
      <c r="H1" s="15" t="s">
        <v>142</v>
      </c>
      <c r="I1" s="15" t="s">
        <v>143</v>
      </c>
      <c r="J1" s="15" t="s">
        <v>144</v>
      </c>
      <c r="K1" s="15" t="s">
        <v>145</v>
      </c>
    </row>
    <row r="2">
      <c r="A2" s="23">
        <v>45615.0</v>
      </c>
      <c r="B2" s="14" t="s">
        <v>22</v>
      </c>
      <c r="C2" s="14" t="s">
        <v>146</v>
      </c>
      <c r="D2" s="14" t="s">
        <v>96</v>
      </c>
      <c r="E2" s="14" t="s">
        <v>97</v>
      </c>
      <c r="F2" s="14" t="s">
        <v>132</v>
      </c>
      <c r="G2" s="14" t="s">
        <v>133</v>
      </c>
      <c r="H2" s="24">
        <f>Inputs_Calc!B8</f>
        <v>190685.22</v>
      </c>
      <c r="I2" s="14" t="s">
        <v>147</v>
      </c>
      <c r="J2" s="14" t="s">
        <v>26</v>
      </c>
      <c r="K2" s="14" t="s">
        <v>148</v>
      </c>
    </row>
    <row r="3">
      <c r="A3" s="23">
        <v>45615.0</v>
      </c>
      <c r="B3" s="14" t="s">
        <v>22</v>
      </c>
      <c r="C3" s="14" t="s">
        <v>146</v>
      </c>
      <c r="D3" s="14" t="s">
        <v>100</v>
      </c>
      <c r="E3" s="14" t="s">
        <v>101</v>
      </c>
      <c r="F3" s="14" t="s">
        <v>132</v>
      </c>
      <c r="G3" s="14" t="s">
        <v>133</v>
      </c>
      <c r="H3" s="24">
        <f>Inputs_Calc!B9</f>
        <v>22567.41</v>
      </c>
      <c r="I3" s="14" t="s">
        <v>149</v>
      </c>
      <c r="J3" s="14" t="s">
        <v>26</v>
      </c>
      <c r="K3" s="14" t="s">
        <v>148</v>
      </c>
    </row>
    <row r="4">
      <c r="A4" s="23">
        <v>45776.0</v>
      </c>
      <c r="B4" s="14" t="s">
        <v>150</v>
      </c>
      <c r="C4" s="14" t="s">
        <v>151</v>
      </c>
      <c r="D4" s="14" t="s">
        <v>103</v>
      </c>
      <c r="E4" s="14" t="s">
        <v>104</v>
      </c>
      <c r="F4" s="14" t="s">
        <v>132</v>
      </c>
      <c r="G4" s="14" t="s">
        <v>133</v>
      </c>
      <c r="H4" s="24">
        <f>Inputs_Calc!F4</f>
        <v>3725.54</v>
      </c>
      <c r="I4" s="14" t="s">
        <v>152</v>
      </c>
      <c r="J4" s="14" t="s">
        <v>153</v>
      </c>
      <c r="K4" s="14" t="s">
        <v>154</v>
      </c>
    </row>
    <row r="5">
      <c r="A5" s="23">
        <v>45776.0</v>
      </c>
      <c r="B5" s="14" t="s">
        <v>150</v>
      </c>
      <c r="C5" s="14" t="s">
        <v>151</v>
      </c>
      <c r="D5" s="14" t="s">
        <v>107</v>
      </c>
      <c r="E5" s="14" t="s">
        <v>108</v>
      </c>
      <c r="F5" s="14" t="s">
        <v>132</v>
      </c>
      <c r="G5" s="14" t="s">
        <v>133</v>
      </c>
      <c r="H5" s="24">
        <f>Inputs_Calc!F5</f>
        <v>693.91</v>
      </c>
      <c r="I5" s="14" t="s">
        <v>155</v>
      </c>
      <c r="J5" s="14" t="s">
        <v>153</v>
      </c>
      <c r="K5" s="14" t="s">
        <v>156</v>
      </c>
    </row>
    <row r="6">
      <c r="A6" s="23">
        <v>45805.0</v>
      </c>
      <c r="B6" s="14" t="s">
        <v>31</v>
      </c>
      <c r="C6" s="14" t="s">
        <v>157</v>
      </c>
      <c r="D6" s="14" t="s">
        <v>110</v>
      </c>
      <c r="E6" s="14" t="s">
        <v>111</v>
      </c>
      <c r="F6" s="14" t="s">
        <v>132</v>
      </c>
      <c r="G6" s="14" t="s">
        <v>133</v>
      </c>
      <c r="H6" s="24">
        <f>Inputs_Calc!B13</f>
        <v>191.01</v>
      </c>
      <c r="I6" s="14" t="s">
        <v>74</v>
      </c>
      <c r="J6" s="14" t="s">
        <v>26</v>
      </c>
      <c r="K6" s="14" t="s">
        <v>158</v>
      </c>
    </row>
    <row r="7">
      <c r="A7" s="23">
        <v>45805.0</v>
      </c>
      <c r="B7" s="14" t="s">
        <v>31</v>
      </c>
      <c r="C7" s="14" t="s">
        <v>159</v>
      </c>
      <c r="D7" s="14" t="s">
        <v>114</v>
      </c>
      <c r="E7" s="14" t="s">
        <v>115</v>
      </c>
      <c r="F7" s="14" t="s">
        <v>132</v>
      </c>
      <c r="G7" s="14" t="s">
        <v>133</v>
      </c>
      <c r="H7" s="24">
        <f>Inputs_Calc!B14</f>
        <v>3000</v>
      </c>
      <c r="I7" s="14" t="s">
        <v>76</v>
      </c>
      <c r="J7" s="14" t="s">
        <v>26</v>
      </c>
      <c r="K7" s="14" t="s">
        <v>158</v>
      </c>
    </row>
    <row r="8">
      <c r="A8" s="23">
        <v>45805.0</v>
      </c>
      <c r="B8" s="14" t="s">
        <v>160</v>
      </c>
      <c r="C8" s="14" t="s">
        <v>161</v>
      </c>
      <c r="D8" s="14" t="s">
        <v>103</v>
      </c>
      <c r="E8" s="14" t="s">
        <v>104</v>
      </c>
      <c r="F8" s="14" t="s">
        <v>132</v>
      </c>
      <c r="G8" s="14" t="s">
        <v>133</v>
      </c>
      <c r="H8" s="24">
        <f>Inputs_Calc!F13</f>
        <v>671.06</v>
      </c>
      <c r="I8" s="14" t="s">
        <v>162</v>
      </c>
      <c r="J8" s="14" t="s">
        <v>153</v>
      </c>
      <c r="K8" s="14" t="s">
        <v>163</v>
      </c>
    </row>
    <row r="9">
      <c r="A9" s="23">
        <v>45805.0</v>
      </c>
      <c r="B9" s="14" t="s">
        <v>160</v>
      </c>
      <c r="C9" s="14" t="s">
        <v>161</v>
      </c>
      <c r="D9" s="14" t="s">
        <v>107</v>
      </c>
      <c r="E9" s="14" t="s">
        <v>108</v>
      </c>
      <c r="F9" s="14" t="s">
        <v>132</v>
      </c>
      <c r="G9" s="14" t="s">
        <v>133</v>
      </c>
      <c r="H9" s="24">
        <f>Inputs_Calc!F14</f>
        <v>124.99</v>
      </c>
      <c r="I9" s="14" t="s">
        <v>164</v>
      </c>
      <c r="J9" s="14" t="s">
        <v>153</v>
      </c>
      <c r="K9" s="14" t="s">
        <v>163</v>
      </c>
    </row>
    <row r="10">
      <c r="A10" s="23">
        <v>45884.0</v>
      </c>
      <c r="B10" s="14" t="s">
        <v>165</v>
      </c>
      <c r="C10" s="14" t="s">
        <v>166</v>
      </c>
      <c r="D10" s="14" t="s">
        <v>118</v>
      </c>
      <c r="E10" s="14" t="s">
        <v>119</v>
      </c>
      <c r="F10" s="14" t="s">
        <v>132</v>
      </c>
      <c r="G10" s="14" t="s">
        <v>133</v>
      </c>
      <c r="H10" s="24">
        <f>Inputs_Calc!B18</f>
        <v>0</v>
      </c>
      <c r="I10" s="14" t="s">
        <v>167</v>
      </c>
      <c r="J10" s="14" t="s">
        <v>168</v>
      </c>
      <c r="K10" s="14" t="s">
        <v>169</v>
      </c>
    </row>
    <row r="11">
      <c r="A11" s="23">
        <v>45884.0</v>
      </c>
      <c r="B11" s="14" t="s">
        <v>165</v>
      </c>
      <c r="C11" s="14" t="s">
        <v>166</v>
      </c>
      <c r="D11" s="14" t="s">
        <v>121</v>
      </c>
      <c r="E11" s="14" t="s">
        <v>122</v>
      </c>
      <c r="F11" s="14" t="s">
        <v>132</v>
      </c>
      <c r="G11" s="14" t="s">
        <v>133</v>
      </c>
      <c r="H11" s="24">
        <f>Inputs_Calc!B19</f>
        <v>0</v>
      </c>
      <c r="I11" s="14" t="s">
        <v>167</v>
      </c>
      <c r="J11" s="14" t="s">
        <v>168</v>
      </c>
      <c r="K11" s="14" t="s">
        <v>169</v>
      </c>
    </row>
    <row r="12">
      <c r="A12" s="23">
        <v>45884.0</v>
      </c>
      <c r="B12" s="14" t="s">
        <v>165</v>
      </c>
      <c r="C12" s="14" t="s">
        <v>166</v>
      </c>
      <c r="D12" s="14" t="s">
        <v>124</v>
      </c>
      <c r="E12" s="14" t="s">
        <v>125</v>
      </c>
      <c r="F12" s="14" t="s">
        <v>132</v>
      </c>
      <c r="G12" s="14" t="s">
        <v>133</v>
      </c>
      <c r="H12" s="24">
        <f>Inputs_Calc!B20</f>
        <v>0</v>
      </c>
      <c r="I12" s="14" t="s">
        <v>167</v>
      </c>
      <c r="J12" s="14" t="s">
        <v>168</v>
      </c>
      <c r="K12" s="14" t="s">
        <v>169</v>
      </c>
    </row>
    <row r="13">
      <c r="A13" s="23">
        <v>45884.0</v>
      </c>
      <c r="B13" s="14" t="s">
        <v>170</v>
      </c>
      <c r="C13" s="14" t="s">
        <v>171</v>
      </c>
      <c r="D13" s="14" t="s">
        <v>128</v>
      </c>
      <c r="E13" s="14" t="s">
        <v>129</v>
      </c>
      <c r="F13" s="14" t="s">
        <v>132</v>
      </c>
      <c r="G13" s="14" t="s">
        <v>133</v>
      </c>
      <c r="H13" s="24">
        <f>Inputs_Calc!F20</f>
        <v>41372.47</v>
      </c>
      <c r="I13" s="14" t="s">
        <v>172</v>
      </c>
      <c r="J13" s="14" t="s">
        <v>130</v>
      </c>
      <c r="K13" s="14" t="s">
        <v>173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40.0"/>
    <col customWidth="1" min="3" max="3" width="16.0"/>
    <col customWidth="1" min="4" max="4" width="12.0"/>
    <col customWidth="1" min="5" max="5" width="52.0"/>
    <col customWidth="1" min="6" max="26" width="8.63"/>
  </cols>
  <sheetData>
    <row r="1">
      <c r="A1" s="15" t="s">
        <v>92</v>
      </c>
      <c r="B1" s="15" t="s">
        <v>93</v>
      </c>
      <c r="C1" s="15" t="s">
        <v>174</v>
      </c>
      <c r="D1" s="15" t="s">
        <v>175</v>
      </c>
      <c r="E1" s="15" t="s">
        <v>145</v>
      </c>
    </row>
    <row r="2">
      <c r="A2" s="22" t="s">
        <v>96</v>
      </c>
      <c r="B2" s="22" t="s">
        <v>97</v>
      </c>
      <c r="C2" s="25">
        <f>SUMIFS(Reconstructed_Journal!$H:$H,Reconstructed_Journal!$D:$D,A2)</f>
        <v>190685.22</v>
      </c>
      <c r="D2" s="22">
        <f>COUNTIFS(Reconstructed_Journal!$D:$D,A2)</f>
        <v>1</v>
      </c>
      <c r="E2" s="22" t="s">
        <v>176</v>
      </c>
    </row>
    <row r="3">
      <c r="A3" s="22" t="s">
        <v>100</v>
      </c>
      <c r="B3" s="22" t="s">
        <v>101</v>
      </c>
      <c r="C3" s="25">
        <f>SUMIFS(Reconstructed_Journal!$H:$H,Reconstructed_Journal!$D:$D,A3)</f>
        <v>22567.41</v>
      </c>
      <c r="D3" s="22">
        <f>COUNTIFS(Reconstructed_Journal!$D:$D,A3)</f>
        <v>1</v>
      </c>
      <c r="E3" s="22" t="s">
        <v>177</v>
      </c>
    </row>
    <row r="4">
      <c r="A4" s="22" t="s">
        <v>103</v>
      </c>
      <c r="B4" s="22" t="s">
        <v>104</v>
      </c>
      <c r="C4" s="25">
        <f>SUMIFS(Reconstructed_Journal!$H:$H,Reconstructed_Journal!$D:$D,A4)</f>
        <v>4396.6</v>
      </c>
      <c r="D4" s="22">
        <f>COUNTIFS(Reconstructed_Journal!$D:$D,A4)</f>
        <v>2</v>
      </c>
      <c r="E4" s="22" t="s">
        <v>178</v>
      </c>
    </row>
    <row r="5">
      <c r="A5" s="22" t="s">
        <v>107</v>
      </c>
      <c r="B5" s="22" t="s">
        <v>108</v>
      </c>
      <c r="C5" s="25">
        <f>SUMIFS(Reconstructed_Journal!$H:$H,Reconstructed_Journal!$D:$D,A5)</f>
        <v>818.9</v>
      </c>
      <c r="D5" s="22">
        <f>COUNTIFS(Reconstructed_Journal!$D:$D,A5)</f>
        <v>2</v>
      </c>
      <c r="E5" s="22" t="s">
        <v>178</v>
      </c>
    </row>
    <row r="6">
      <c r="A6" s="22" t="s">
        <v>110</v>
      </c>
      <c r="B6" s="22" t="s">
        <v>111</v>
      </c>
      <c r="C6" s="25">
        <f>SUMIFS(Reconstructed_Journal!$H:$H,Reconstructed_Journal!$D:$D,A6)</f>
        <v>191.01</v>
      </c>
      <c r="D6" s="22">
        <f>COUNTIFS(Reconstructed_Journal!$D:$D,A6)</f>
        <v>1</v>
      </c>
      <c r="E6" s="22" t="s">
        <v>179</v>
      </c>
    </row>
    <row r="7">
      <c r="A7" s="22" t="s">
        <v>114</v>
      </c>
      <c r="B7" s="22" t="s">
        <v>115</v>
      </c>
      <c r="C7" s="25">
        <f>SUMIFS(Reconstructed_Journal!$H:$H,Reconstructed_Journal!$D:$D,A7)</f>
        <v>3000</v>
      </c>
      <c r="D7" s="22">
        <f>COUNTIFS(Reconstructed_Journal!$D:$D,A7)</f>
        <v>1</v>
      </c>
      <c r="E7" s="22" t="s">
        <v>179</v>
      </c>
    </row>
    <row r="8">
      <c r="A8" s="22" t="s">
        <v>118</v>
      </c>
      <c r="B8" s="22" t="s">
        <v>119</v>
      </c>
      <c r="C8" s="25">
        <f>SUMIFS(Reconstructed_Journal!$H:$H,Reconstructed_Journal!$D:$D,A8)</f>
        <v>0</v>
      </c>
      <c r="D8" s="22">
        <f>COUNTIFS(Reconstructed_Journal!$D:$D,A8)</f>
        <v>1</v>
      </c>
      <c r="E8" s="22" t="s">
        <v>180</v>
      </c>
    </row>
    <row r="9">
      <c r="A9" s="22" t="s">
        <v>121</v>
      </c>
      <c r="B9" s="22" t="s">
        <v>122</v>
      </c>
      <c r="C9" s="25">
        <f>SUMIFS(Reconstructed_Journal!$H:$H,Reconstructed_Journal!$D:$D,A9)</f>
        <v>0</v>
      </c>
      <c r="D9" s="22">
        <f>COUNTIFS(Reconstructed_Journal!$D:$D,A9)</f>
        <v>1</v>
      </c>
      <c r="E9" s="22" t="s">
        <v>180</v>
      </c>
    </row>
    <row r="10">
      <c r="A10" s="22" t="s">
        <v>124</v>
      </c>
      <c r="B10" s="22" t="s">
        <v>125</v>
      </c>
      <c r="C10" s="25">
        <f>SUMIFS(Reconstructed_Journal!$H:$H,Reconstructed_Journal!$D:$D,A10)</f>
        <v>0</v>
      </c>
      <c r="D10" s="22">
        <f>COUNTIFS(Reconstructed_Journal!$D:$D,A10)</f>
        <v>1</v>
      </c>
      <c r="E10" s="22" t="s">
        <v>180</v>
      </c>
    </row>
    <row r="11">
      <c r="A11" s="22" t="s">
        <v>128</v>
      </c>
      <c r="B11" s="22" t="s">
        <v>129</v>
      </c>
      <c r="C11" s="25">
        <f>SUMIFS(Reconstructed_Journal!$H:$H,Reconstructed_Journal!$D:$D,A11)</f>
        <v>41372.47</v>
      </c>
      <c r="D11" s="22">
        <f>COUNTIFS(Reconstructed_Journal!$D:$D,A11)</f>
        <v>1</v>
      </c>
      <c r="E11" s="22" t="s">
        <v>181</v>
      </c>
    </row>
    <row r="12">
      <c r="A12" s="22"/>
      <c r="B12" s="22" t="s">
        <v>182</v>
      </c>
      <c r="C12" s="25">
        <f>SUM(C2:C11)</f>
        <v>263031.61</v>
      </c>
      <c r="D12" s="22"/>
      <c r="E12" s="22" t="s">
        <v>183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10.0"/>
    <col customWidth="1" min="3" max="3" width="14.0"/>
    <col customWidth="1" min="4" max="4" width="48.0"/>
    <col customWidth="1" min="5" max="12" width="14.0"/>
    <col customWidth="1" min="13" max="13" width="10.0"/>
    <col customWidth="1" min="14" max="14" width="42.0"/>
    <col customWidth="1" min="15" max="15" width="14.0"/>
    <col customWidth="1" min="16" max="26" width="8.63"/>
  </cols>
  <sheetData>
    <row r="1">
      <c r="A1" s="15" t="s">
        <v>184</v>
      </c>
      <c r="B1" s="15" t="s">
        <v>16</v>
      </c>
      <c r="C1" s="15" t="s">
        <v>185</v>
      </c>
      <c r="D1" s="15" t="s">
        <v>18</v>
      </c>
      <c r="E1" s="15" t="s">
        <v>186</v>
      </c>
      <c r="F1" s="15" t="s">
        <v>187</v>
      </c>
      <c r="G1" s="15" t="s">
        <v>188</v>
      </c>
      <c r="H1" s="15" t="s">
        <v>189</v>
      </c>
      <c r="I1" s="15" t="s">
        <v>190</v>
      </c>
      <c r="J1" s="15" t="s">
        <v>191</v>
      </c>
      <c r="K1" s="15" t="s">
        <v>192</v>
      </c>
      <c r="L1" s="15" t="s">
        <v>193</v>
      </c>
      <c r="M1" s="15" t="s">
        <v>194</v>
      </c>
      <c r="N1" s="15" t="s">
        <v>195</v>
      </c>
      <c r="O1" s="15" t="s">
        <v>21</v>
      </c>
    </row>
    <row r="2">
      <c r="A2" s="14">
        <v>1.0</v>
      </c>
      <c r="B2" s="14" t="s">
        <v>22</v>
      </c>
      <c r="C2" s="23">
        <v>45673.0</v>
      </c>
      <c r="D2" s="14" t="s">
        <v>196</v>
      </c>
      <c r="E2" s="24">
        <v>190685.22</v>
      </c>
      <c r="F2" s="24">
        <v>22567.41</v>
      </c>
      <c r="G2" s="24">
        <v>0.0</v>
      </c>
      <c r="H2" s="24">
        <v>0.0</v>
      </c>
      <c r="I2" s="24">
        <v>0.0</v>
      </c>
      <c r="J2" s="24">
        <v>0.0</v>
      </c>
      <c r="K2" s="24">
        <f>SUM(E2:J2)</f>
        <v>213252.63</v>
      </c>
      <c r="L2" s="24"/>
      <c r="M2" s="26"/>
      <c r="N2" s="14" t="s">
        <v>197</v>
      </c>
      <c r="O2" s="14" t="s">
        <v>26</v>
      </c>
    </row>
    <row r="3">
      <c r="A3" s="14">
        <v>2.0</v>
      </c>
      <c r="B3" s="14" t="s">
        <v>31</v>
      </c>
      <c r="C3" s="23">
        <v>45805.0</v>
      </c>
      <c r="D3" s="14" t="s">
        <v>32</v>
      </c>
      <c r="E3" s="24">
        <v>194410.76</v>
      </c>
      <c r="F3" s="24">
        <v>23261.32</v>
      </c>
      <c r="G3" s="24">
        <v>191.01</v>
      </c>
      <c r="H3" s="24">
        <v>3000.0</v>
      </c>
      <c r="I3" s="24">
        <v>0.0</v>
      </c>
      <c r="J3" s="24">
        <v>0.0</v>
      </c>
      <c r="K3" s="24">
        <v>220863.09</v>
      </c>
      <c r="L3" s="24">
        <f t="shared" ref="L3:L4" si="1">K3-K2</f>
        <v>7610.46</v>
      </c>
      <c r="M3" s="26">
        <f t="shared" ref="M3:M4" si="2">IF(K2=0,"",L3/K2)</f>
        <v>0.03568753173</v>
      </c>
      <c r="N3" s="14" t="s">
        <v>198</v>
      </c>
      <c r="O3" s="14" t="s">
        <v>26</v>
      </c>
    </row>
    <row r="4">
      <c r="A4" s="14">
        <v>3.0</v>
      </c>
      <c r="B4" s="14" t="s">
        <v>35</v>
      </c>
      <c r="C4" s="23">
        <v>45909.0</v>
      </c>
      <c r="D4" s="14" t="s">
        <v>199</v>
      </c>
      <c r="E4" s="24">
        <v>0.0</v>
      </c>
      <c r="F4" s="24">
        <v>0.0</v>
      </c>
      <c r="G4" s="24">
        <v>0.0</v>
      </c>
      <c r="H4" s="24">
        <v>0.0</v>
      </c>
      <c r="I4" s="24">
        <v>0.0</v>
      </c>
      <c r="J4" s="24">
        <v>0.0</v>
      </c>
      <c r="K4" s="24">
        <v>240464.2</v>
      </c>
      <c r="L4" s="24">
        <f t="shared" si="1"/>
        <v>19601.11</v>
      </c>
      <c r="M4" s="26">
        <f t="shared" si="2"/>
        <v>0.08874778488</v>
      </c>
      <c r="N4" s="14" t="s">
        <v>200</v>
      </c>
      <c r="O4" s="14" t="s">
        <v>26</v>
      </c>
    </row>
    <row r="5">
      <c r="A5" s="14">
        <v>4.0</v>
      </c>
      <c r="B5" s="14" t="s">
        <v>39</v>
      </c>
      <c r="C5" s="23">
        <v>46008.0</v>
      </c>
      <c r="D5" s="14" t="s">
        <v>40</v>
      </c>
      <c r="E5" s="24">
        <v>0.0</v>
      </c>
      <c r="F5" s="24">
        <v>0.0</v>
      </c>
      <c r="G5" s="24">
        <v>0.0</v>
      </c>
      <c r="H5" s="24">
        <v>0.0</v>
      </c>
      <c r="I5" s="24">
        <v>0.0</v>
      </c>
      <c r="J5" s="24">
        <v>0.0</v>
      </c>
      <c r="K5" s="24"/>
      <c r="L5" s="24" t="str">
        <f t="shared" ref="L5:L8" si="3">IF(K5="","",K5-K4)</f>
        <v/>
      </c>
      <c r="M5" s="26" t="str">
        <f t="shared" ref="M5:M8" si="4">IF(OR(K5="",K4=0),"",L5/K4)</f>
        <v/>
      </c>
      <c r="N5" s="14" t="s">
        <v>201</v>
      </c>
      <c r="O5" s="14" t="s">
        <v>43</v>
      </c>
    </row>
    <row r="6">
      <c r="A6" s="14">
        <v>5.0</v>
      </c>
      <c r="B6" s="14" t="s">
        <v>44</v>
      </c>
      <c r="C6" s="23">
        <v>46077.0</v>
      </c>
      <c r="D6" s="14" t="s">
        <v>45</v>
      </c>
      <c r="E6" s="24">
        <v>0.0</v>
      </c>
      <c r="F6" s="24">
        <v>0.0</v>
      </c>
      <c r="G6" s="24">
        <v>0.0</v>
      </c>
      <c r="H6" s="24">
        <v>0.0</v>
      </c>
      <c r="I6" s="24">
        <v>0.0</v>
      </c>
      <c r="J6" s="24">
        <v>0.0</v>
      </c>
      <c r="K6" s="24"/>
      <c r="L6" s="24" t="str">
        <f t="shared" si="3"/>
        <v/>
      </c>
      <c r="M6" s="26" t="str">
        <f t="shared" si="4"/>
        <v/>
      </c>
      <c r="N6" s="14" t="s">
        <v>202</v>
      </c>
      <c r="O6" s="14" t="s">
        <v>43</v>
      </c>
    </row>
    <row r="7">
      <c r="A7" s="14">
        <v>6.0</v>
      </c>
      <c r="B7" s="14" t="s">
        <v>47</v>
      </c>
      <c r="C7" s="23">
        <v>46079.0</v>
      </c>
      <c r="D7" s="14" t="s">
        <v>48</v>
      </c>
      <c r="E7" s="24">
        <v>0.0</v>
      </c>
      <c r="F7" s="24">
        <v>0.0</v>
      </c>
      <c r="G7" s="24">
        <v>0.0</v>
      </c>
      <c r="H7" s="24">
        <v>0.0</v>
      </c>
      <c r="I7" s="24">
        <v>0.0</v>
      </c>
      <c r="J7" s="24">
        <v>0.0</v>
      </c>
      <c r="K7" s="24"/>
      <c r="L7" s="24" t="str">
        <f t="shared" si="3"/>
        <v/>
      </c>
      <c r="M7" s="26" t="str">
        <f t="shared" si="4"/>
        <v/>
      </c>
      <c r="N7" s="14" t="s">
        <v>203</v>
      </c>
      <c r="O7" s="14" t="s">
        <v>43</v>
      </c>
    </row>
    <row r="8">
      <c r="A8" s="14">
        <v>7.0</v>
      </c>
      <c r="B8" s="14" t="s">
        <v>49</v>
      </c>
      <c r="C8" s="23">
        <v>46083.0</v>
      </c>
      <c r="D8" s="14" t="s">
        <v>50</v>
      </c>
      <c r="E8" s="24">
        <v>0.0</v>
      </c>
      <c r="F8" s="24">
        <v>0.0</v>
      </c>
      <c r="G8" s="24">
        <v>0.0</v>
      </c>
      <c r="H8" s="24">
        <v>0.0</v>
      </c>
      <c r="I8" s="24">
        <v>0.0</v>
      </c>
      <c r="J8" s="24">
        <v>0.0</v>
      </c>
      <c r="K8" s="24"/>
      <c r="L8" s="24" t="str">
        <f t="shared" si="3"/>
        <v/>
      </c>
      <c r="M8" s="26" t="str">
        <f t="shared" si="4"/>
        <v/>
      </c>
      <c r="N8" s="14" t="s">
        <v>204</v>
      </c>
      <c r="O8" s="14" t="s">
        <v>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9.0"/>
    <col customWidth="1" min="3" max="3" width="10.0"/>
    <col customWidth="1" min="4" max="4" width="12.0"/>
    <col customWidth="1" min="5" max="5" width="34.0"/>
    <col customWidth="1" min="6" max="6" width="14.0"/>
    <col customWidth="1" min="7" max="7" width="34.0"/>
    <col customWidth="1" min="8" max="8" width="14.0"/>
    <col customWidth="1" min="9" max="9" width="42.0"/>
    <col customWidth="1" min="10" max="26" width="8.63"/>
  </cols>
  <sheetData>
    <row r="1">
      <c r="A1" s="15" t="s">
        <v>136</v>
      </c>
      <c r="B1" s="15" t="s">
        <v>184</v>
      </c>
      <c r="C1" s="15" t="s">
        <v>16</v>
      </c>
      <c r="D1" s="15" t="s">
        <v>92</v>
      </c>
      <c r="E1" s="15" t="s">
        <v>93</v>
      </c>
      <c r="F1" s="15" t="s">
        <v>205</v>
      </c>
      <c r="G1" s="15" t="s">
        <v>206</v>
      </c>
      <c r="H1" s="15" t="s">
        <v>144</v>
      </c>
      <c r="I1" s="15" t="s">
        <v>145</v>
      </c>
    </row>
    <row r="2">
      <c r="A2" s="23">
        <v>45805.0</v>
      </c>
      <c r="B2" s="14">
        <v>2.0</v>
      </c>
      <c r="C2" s="14" t="s">
        <v>31</v>
      </c>
      <c r="D2" s="14" t="s">
        <v>103</v>
      </c>
      <c r="E2" s="14" t="s">
        <v>104</v>
      </c>
      <c r="F2" s="24">
        <f>Claims_Timeline!E3-Claims_Timeline!E2</f>
        <v>3725.54</v>
      </c>
      <c r="G2" s="14" t="s">
        <v>207</v>
      </c>
      <c r="H2" s="14" t="s">
        <v>26</v>
      </c>
      <c r="I2" s="14" t="s">
        <v>208</v>
      </c>
    </row>
    <row r="3">
      <c r="A3" s="23">
        <v>45805.0</v>
      </c>
      <c r="B3" s="14">
        <v>2.0</v>
      </c>
      <c r="C3" s="14" t="s">
        <v>31</v>
      </c>
      <c r="D3" s="14" t="s">
        <v>107</v>
      </c>
      <c r="E3" s="14" t="s">
        <v>108</v>
      </c>
      <c r="F3" s="24">
        <f>Claims_Timeline!F3-Claims_Timeline!F2</f>
        <v>693.91</v>
      </c>
      <c r="G3" s="14" t="s">
        <v>209</v>
      </c>
      <c r="H3" s="14" t="s">
        <v>26</v>
      </c>
      <c r="I3" s="14" t="s">
        <v>210</v>
      </c>
    </row>
    <row r="4">
      <c r="A4" s="23">
        <v>45805.0</v>
      </c>
      <c r="B4" s="14">
        <v>2.0</v>
      </c>
      <c r="C4" s="14" t="s">
        <v>31</v>
      </c>
      <c r="D4" s="14" t="s">
        <v>110</v>
      </c>
      <c r="E4" s="14" t="s">
        <v>111</v>
      </c>
      <c r="F4" s="24">
        <f>Claims_Timeline!G3-Claims_Timeline!G2</f>
        <v>191.01</v>
      </c>
      <c r="G4" s="14" t="s">
        <v>211</v>
      </c>
      <c r="H4" s="14" t="s">
        <v>26</v>
      </c>
      <c r="I4" s="14"/>
    </row>
    <row r="5">
      <c r="A5" s="23">
        <v>45805.0</v>
      </c>
      <c r="B5" s="14">
        <v>2.0</v>
      </c>
      <c r="C5" s="14" t="s">
        <v>31</v>
      </c>
      <c r="D5" s="14" t="s">
        <v>114</v>
      </c>
      <c r="E5" s="14" t="s">
        <v>115</v>
      </c>
      <c r="F5" s="24">
        <f>Claims_Timeline!H3-Claims_Timeline!H2</f>
        <v>3000</v>
      </c>
      <c r="G5" s="14" t="s">
        <v>212</v>
      </c>
      <c r="H5" s="14" t="s">
        <v>26</v>
      </c>
      <c r="I5" s="14"/>
    </row>
    <row r="6">
      <c r="A6" s="23">
        <v>45909.0</v>
      </c>
      <c r="B6" s="14">
        <v>3.0</v>
      </c>
      <c r="C6" s="14" t="s">
        <v>35</v>
      </c>
      <c r="D6" s="14" t="s">
        <v>128</v>
      </c>
      <c r="E6" s="14" t="s">
        <v>129</v>
      </c>
      <c r="F6" s="24">
        <f>Claims_Timeline!K4-Claims_Timeline!K3</f>
        <v>19601.11</v>
      </c>
      <c r="G6" s="14" t="s">
        <v>213</v>
      </c>
      <c r="H6" s="14" t="s">
        <v>130</v>
      </c>
      <c r="I6" s="14" t="s">
        <v>214</v>
      </c>
    </row>
    <row r="7">
      <c r="A7" s="23">
        <v>46008.0</v>
      </c>
      <c r="B7" s="14">
        <v>4.0</v>
      </c>
      <c r="C7" s="14" t="s">
        <v>39</v>
      </c>
      <c r="D7" s="14" t="s">
        <v>128</v>
      </c>
      <c r="E7" s="14" t="s">
        <v>129</v>
      </c>
      <c r="F7" s="24" t="str">
        <f>IF(Claims_Timeline!K5="","",Claims_Timeline!K5-Claims_Timeline!K4)</f>
        <v/>
      </c>
      <c r="G7" s="14" t="s">
        <v>215</v>
      </c>
      <c r="H7" s="14" t="s">
        <v>43</v>
      </c>
      <c r="I7" s="14" t="s">
        <v>216</v>
      </c>
    </row>
    <row r="8">
      <c r="A8" s="23">
        <v>46077.0</v>
      </c>
      <c r="B8" s="14">
        <v>5.0</v>
      </c>
      <c r="C8" s="14" t="s">
        <v>44</v>
      </c>
      <c r="D8" s="14" t="s">
        <v>128</v>
      </c>
      <c r="E8" s="14" t="s">
        <v>129</v>
      </c>
      <c r="F8" s="24" t="str">
        <f>IF(Claims_Timeline!K6="","",Claims_Timeline!K6-Claims_Timeline!K5)</f>
        <v/>
      </c>
      <c r="G8" s="14" t="s">
        <v>217</v>
      </c>
      <c r="H8" s="14" t="s">
        <v>43</v>
      </c>
      <c r="I8" s="14" t="s">
        <v>216</v>
      </c>
    </row>
    <row r="9">
      <c r="A9" s="23">
        <v>46079.0</v>
      </c>
      <c r="B9" s="14">
        <v>6.0</v>
      </c>
      <c r="C9" s="14" t="s">
        <v>47</v>
      </c>
      <c r="D9" s="14" t="s">
        <v>128</v>
      </c>
      <c r="E9" s="14" t="s">
        <v>129</v>
      </c>
      <c r="F9" s="24" t="str">
        <f>IF(Claims_Timeline!K7="","",Claims_Timeline!K7-Claims_Timeline!K6)</f>
        <v/>
      </c>
      <c r="G9" s="14" t="s">
        <v>218</v>
      </c>
      <c r="H9" s="14" t="s">
        <v>43</v>
      </c>
      <c r="I9" s="14" t="s">
        <v>216</v>
      </c>
    </row>
    <row r="10">
      <c r="A10" s="27">
        <v>46083.0</v>
      </c>
      <c r="B10" s="27">
        <v>7.0</v>
      </c>
      <c r="C10" s="27" t="s">
        <v>49</v>
      </c>
      <c r="D10" s="27" t="s">
        <v>219</v>
      </c>
      <c r="E10" s="27" t="s">
        <v>220</v>
      </c>
      <c r="F10" s="27" t="str">
        <f>IF(Claims_Timeline!K8="","",Claims_Timeline!K8-Claims_Timeline!K7)</f>
        <v/>
      </c>
      <c r="G10" s="27" t="s">
        <v>221</v>
      </c>
      <c r="H10" s="27" t="s">
        <v>43</v>
      </c>
      <c r="I10" s="27" t="s">
        <v>222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42.0"/>
    <col customWidth="1" min="3" max="3" width="16.0"/>
    <col customWidth="1" min="4" max="4" width="12.0"/>
    <col customWidth="1" min="5" max="5" width="54.0"/>
    <col customWidth="1" min="6" max="26" width="8.63"/>
  </cols>
  <sheetData>
    <row r="1">
      <c r="A1" s="15" t="s">
        <v>92</v>
      </c>
      <c r="B1" s="15" t="s">
        <v>93</v>
      </c>
      <c r="C1" s="15" t="s">
        <v>223</v>
      </c>
      <c r="D1" s="15" t="s">
        <v>175</v>
      </c>
      <c r="E1" s="15" t="s">
        <v>145</v>
      </c>
    </row>
    <row r="2">
      <c r="A2" s="22" t="s">
        <v>103</v>
      </c>
      <c r="B2" s="22" t="s">
        <v>104</v>
      </c>
      <c r="C2" s="25">
        <f>SUMIFS(Change_Classifier!$F:$F,Change_Classifier!$D:$D,A2)</f>
        <v>3725.54</v>
      </c>
      <c r="D2" s="22">
        <f>COUNTIFS(Change_Classifier!$D:$D,A2)</f>
        <v>1</v>
      </c>
      <c r="E2" s="22" t="s">
        <v>224</v>
      </c>
    </row>
    <row r="3">
      <c r="A3" s="22" t="s">
        <v>107</v>
      </c>
      <c r="B3" s="22" t="s">
        <v>108</v>
      </c>
      <c r="C3" s="25">
        <f>SUMIFS(Change_Classifier!$F:$F,Change_Classifier!$D:$D,A3)</f>
        <v>693.91</v>
      </c>
      <c r="D3" s="22">
        <f>COUNTIFS(Change_Classifier!$D:$D,A3)</f>
        <v>1</v>
      </c>
      <c r="E3" s="22" t="s">
        <v>224</v>
      </c>
    </row>
    <row r="4">
      <c r="A4" s="22" t="s">
        <v>110</v>
      </c>
      <c r="B4" s="22" t="s">
        <v>111</v>
      </c>
      <c r="C4" s="25">
        <f>SUMIFS(Change_Classifier!$F:$F,Change_Classifier!$D:$D,A4)</f>
        <v>191.01</v>
      </c>
      <c r="D4" s="22">
        <f>COUNTIFS(Change_Classifier!$D:$D,A4)</f>
        <v>1</v>
      </c>
      <c r="E4" s="22" t="s">
        <v>224</v>
      </c>
    </row>
    <row r="5">
      <c r="A5" s="22" t="s">
        <v>114</v>
      </c>
      <c r="B5" s="22" t="s">
        <v>115</v>
      </c>
      <c r="C5" s="25">
        <f>SUMIFS(Change_Classifier!$F:$F,Change_Classifier!$D:$D,A5)</f>
        <v>3000</v>
      </c>
      <c r="D5" s="22">
        <f>COUNTIFS(Change_Classifier!$D:$D,A5)</f>
        <v>1</v>
      </c>
      <c r="E5" s="22" t="s">
        <v>224</v>
      </c>
    </row>
    <row r="6">
      <c r="A6" s="22" t="s">
        <v>128</v>
      </c>
      <c r="B6" s="22" t="s">
        <v>129</v>
      </c>
      <c r="C6" s="25">
        <f>SUMIFS(Change_Classifier!$F:$F,Change_Classifier!$D:$D,A6)</f>
        <v>19601.11</v>
      </c>
      <c r="D6" s="22">
        <f>COUNTIFS(Change_Classifier!$D:$D,A6)</f>
        <v>4</v>
      </c>
      <c r="E6" s="22" t="s">
        <v>225</v>
      </c>
    </row>
    <row r="7">
      <c r="A7" s="22" t="s">
        <v>219</v>
      </c>
      <c r="B7" s="22" t="s">
        <v>220</v>
      </c>
      <c r="C7" s="25">
        <f>SUMIFS(Change_Classifier!$F:$F,Change_Classifier!$D:$D,A7)</f>
        <v>0</v>
      </c>
      <c r="D7" s="22">
        <f>COUNTIFS(Change_Classifier!$D:$D,A7)</f>
        <v>1</v>
      </c>
      <c r="E7" s="22" t="s">
        <v>226</v>
      </c>
    </row>
    <row r="8">
      <c r="A8" s="22"/>
      <c r="B8" s="22" t="s">
        <v>227</v>
      </c>
      <c r="C8" s="25">
        <f>SUM(C2:C7)</f>
        <v>27211.57</v>
      </c>
      <c r="D8" s="22"/>
      <c r="E8" s="22" t="s">
        <v>228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0"/>
    <col customWidth="1" min="2" max="2" width="18.0"/>
    <col customWidth="1" min="3" max="3" width="76.0"/>
    <col customWidth="1" min="4" max="26" width="8.63"/>
  </cols>
  <sheetData>
    <row r="1">
      <c r="A1" s="15" t="s">
        <v>229</v>
      </c>
      <c r="B1" s="15" t="s">
        <v>53</v>
      </c>
      <c r="C1" s="15" t="s">
        <v>230</v>
      </c>
    </row>
    <row r="2">
      <c r="A2" s="22" t="s">
        <v>231</v>
      </c>
      <c r="B2" s="25">
        <f>Claims_Timeline!K2</f>
        <v>213252.63</v>
      </c>
      <c r="C2" s="22" t="s">
        <v>232</v>
      </c>
    </row>
    <row r="3">
      <c r="A3" s="22" t="s">
        <v>233</v>
      </c>
      <c r="B3" s="25">
        <f>Claims_Timeline!K3</f>
        <v>220863.09</v>
      </c>
      <c r="C3" s="22" t="s">
        <v>234</v>
      </c>
    </row>
    <row r="4">
      <c r="A4" s="22" t="s">
        <v>235</v>
      </c>
      <c r="B4" s="25">
        <f>Inputs_Calc!F16</f>
        <v>199091.73</v>
      </c>
      <c r="C4" s="22" t="s">
        <v>236</v>
      </c>
    </row>
    <row r="5">
      <c r="A5" s="22" t="s">
        <v>237</v>
      </c>
      <c r="B5" s="25">
        <f>Claims_Timeline!K4</f>
        <v>240464.2</v>
      </c>
      <c r="C5" s="22" t="s">
        <v>238</v>
      </c>
    </row>
    <row r="6">
      <c r="A6" s="22" t="s">
        <v>239</v>
      </c>
      <c r="B6" s="25">
        <f>Inputs_Calc!F20</f>
        <v>41372.47</v>
      </c>
      <c r="C6" s="22" t="s">
        <v>240</v>
      </c>
    </row>
    <row r="7">
      <c r="A7" s="22" t="s">
        <v>241</v>
      </c>
      <c r="B7" s="25">
        <f>Inputs_Calc!F18</f>
        <v>19601.11</v>
      </c>
      <c r="C7" s="22" t="s">
        <v>242</v>
      </c>
    </row>
    <row r="8">
      <c r="A8" s="22" t="s">
        <v>243</v>
      </c>
      <c r="B8" s="25">
        <f>Inputs_Calc!F8</f>
        <v>22567.41</v>
      </c>
      <c r="C8" s="22" t="s">
        <v>244</v>
      </c>
    </row>
    <row r="9">
      <c r="A9" s="22" t="s">
        <v>245</v>
      </c>
      <c r="B9" s="25">
        <f>Inputs_Calc!F19</f>
        <v>0</v>
      </c>
      <c r="C9" s="22" t="s">
        <v>246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