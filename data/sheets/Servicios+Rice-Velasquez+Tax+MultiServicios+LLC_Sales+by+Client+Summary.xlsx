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 by Client Summary" r:id="rId3" sheetId="1"/>
  </sheets>
</workbook>
</file>

<file path=xl/sharedStrings.xml><?xml version="1.0" encoding="utf-8"?>
<sst xmlns="http://schemas.openxmlformats.org/spreadsheetml/2006/main" count="502" uniqueCount="502">
  <si>
    <t>Total</t>
  </si>
  <si>
    <t>(Santiago) Rudiel Eredin Aguilar Morales</t>
  </si>
  <si>
    <t xml:space="preserve">   Jesus Amigo de Rudiel que pa hacer ITIN</t>
  </si>
  <si>
    <t>Total (Santiago) Rudiel Eredin Aguilar Morales</t>
  </si>
  <si>
    <t>Aetan Azarel Loarca</t>
  </si>
  <si>
    <t>AG &amp; S Professional Services LLC (deleted)</t>
  </si>
  <si>
    <t>Akinola, Olusegun</t>
  </si>
  <si>
    <t>Alan Leonnel Motolina Marcos</t>
  </si>
  <si>
    <t>Alcala, David L</t>
  </si>
  <si>
    <t>Aldair Garcia Ambrosio</t>
  </si>
  <si>
    <t>Alejandra Medina</t>
  </si>
  <si>
    <t>Alejandro Barragan</t>
  </si>
  <si>
    <t>Alejandro Lopez Narvaez</t>
  </si>
  <si>
    <t>Alexander Lopez Alvarado</t>
  </si>
  <si>
    <t>Alexander Vargas</t>
  </si>
  <si>
    <t>Alexis Rodriguez Meija</t>
  </si>
  <si>
    <t>Alfonso Bogarin De La Cruz</t>
  </si>
  <si>
    <t>Alonso Desiderio Munos Mendez</t>
  </si>
  <si>
    <t>Amadeo Ortiz</t>
  </si>
  <si>
    <t>Amy Vega Mendez</t>
  </si>
  <si>
    <t>Ana Lagos Baca</t>
  </si>
  <si>
    <t>Ana M Bedoya Posada</t>
  </si>
  <si>
    <t>Ana Maria Gonzalez de Jesus</t>
  </si>
  <si>
    <t xml:space="preserve">   Rosa Latina (ACTIVE)</t>
  </si>
  <si>
    <t>Total Ana Maria Gonzalez de Jesus</t>
  </si>
  <si>
    <t>ana rosa perez soberanis</t>
  </si>
  <si>
    <t>Anastacio Aguilar Medina</t>
  </si>
  <si>
    <t>Andersson Alexander Rivera Cruz LLC</t>
  </si>
  <si>
    <t>Andres Felipe Hernandez Linares</t>
  </si>
  <si>
    <t>Andres Gomez Gutierrez</t>
  </si>
  <si>
    <t>Angel Castro Falcones</t>
  </si>
  <si>
    <t>Angel G Perez</t>
  </si>
  <si>
    <t>Angel Ramirez Alcocer</t>
  </si>
  <si>
    <t>Angelica Maria Torres</t>
  </si>
  <si>
    <t>Angelys Atilano</t>
  </si>
  <si>
    <t>antonia consuelo obispo lopez</t>
  </si>
  <si>
    <t>Araceli F Gonzalez LLC</t>
  </si>
  <si>
    <t>Aracely Turjillo</t>
  </si>
  <si>
    <t>Arlen E Hernandez</t>
  </si>
  <si>
    <t>Arlene Escorcia</t>
  </si>
  <si>
    <t>Arleth Gonzalez Granados</t>
  </si>
  <si>
    <t>Aura Lilliam Maldonado Gonzalez</t>
  </si>
  <si>
    <t>Axel Gutierrez Jacinto</t>
  </si>
  <si>
    <t>Axel Martinez Gutierrez</t>
  </si>
  <si>
    <t>Ayala Cortez, Susana</t>
  </si>
  <si>
    <t>Azalia Pineda Perez</t>
  </si>
  <si>
    <t>Beatriz Jacqueline Martinez Peralta</t>
  </si>
  <si>
    <t>Becerril Coyotl, Alvaro</t>
  </si>
  <si>
    <t>Bellorini Calvo, Maryury</t>
  </si>
  <si>
    <t>Beltran Amaya, Alicia Y</t>
  </si>
  <si>
    <t>Bill Pay Client</t>
  </si>
  <si>
    <t>Brandon Aritizabal</t>
  </si>
  <si>
    <t>Brandon Garcia Aguilera</t>
  </si>
  <si>
    <t xml:space="preserve">   Barber BG (deleted)</t>
  </si>
  <si>
    <t>Total Brandon Garcia Aguilera</t>
  </si>
  <si>
    <t>Brenda Mejia (DO NOT SERVICE)</t>
  </si>
  <si>
    <t xml:space="preserve">   Joyeria Judith (DO NOT SERVICE) (deleted)</t>
  </si>
  <si>
    <t>Total Brenda Mejia (DO NOT SERVICE)</t>
  </si>
  <si>
    <t>Brenda Y Yamile Granados</t>
  </si>
  <si>
    <t>Brian Daniel Catalan</t>
  </si>
  <si>
    <t>Brummet, Hillary</t>
  </si>
  <si>
    <t>Calero Lopez, Lady L</t>
  </si>
  <si>
    <t>Candida Zeledon Rivera</t>
  </si>
  <si>
    <t>Carlos Acuna Avila</t>
  </si>
  <si>
    <t>Carlos Alberto Ortiz Andrade</t>
  </si>
  <si>
    <t>Carlos Arturo Rodriguez</t>
  </si>
  <si>
    <t>Carlos Cruz</t>
  </si>
  <si>
    <t>Carlos Ocuna</t>
  </si>
  <si>
    <t>Carmen Aminta Obispo Monzo</t>
  </si>
  <si>
    <t>Castillo Flores, Sara</t>
  </si>
  <si>
    <t>Castillo, Elisandro</t>
  </si>
  <si>
    <t>Centeno, Alba</t>
  </si>
  <si>
    <t>Cesar Caballero Ramos</t>
  </si>
  <si>
    <t>Cesar Santiago Santiago</t>
  </si>
  <si>
    <t>Chacon Gonzales, Osman J</t>
  </si>
  <si>
    <t>Chalco, Jenny</t>
  </si>
  <si>
    <t>Chirinos Matute, Dania J</t>
  </si>
  <si>
    <t>Chirinos Romero, Jessica M</t>
  </si>
  <si>
    <t>Cirino Zapata LLC (Active)</t>
  </si>
  <si>
    <t>Claudia Constanza Jimenez Pineda</t>
  </si>
  <si>
    <t>Claudia Gabriela Torres Gonzalez</t>
  </si>
  <si>
    <t>Claudia Gonzalez Arroniz</t>
  </si>
  <si>
    <t>Claudia Ortega Ramirez</t>
  </si>
  <si>
    <t>Coco Bongos Indy LLC</t>
  </si>
  <si>
    <t>Costilla Jimenez, Julio D</t>
  </si>
  <si>
    <t>Created by Jayson (InActive)</t>
  </si>
  <si>
    <t>Cristina Pineda Castro</t>
  </si>
  <si>
    <t>Cuautemoc Alvarez</t>
  </si>
  <si>
    <t>Cuchillo Rosas, Julian</t>
  </si>
  <si>
    <t>Daisy Alvarez</t>
  </si>
  <si>
    <t>Daisy Carolina Godoy Velasquez</t>
  </si>
  <si>
    <t>Damyelo Mejias Martinez</t>
  </si>
  <si>
    <t>Daniel Alfredo Rivas Mujica &amp; Rosa Iraima Garcia de Rivas</t>
  </si>
  <si>
    <t>Daniel Vargas</t>
  </si>
  <si>
    <t>Darwing Alejandro Munoz</t>
  </si>
  <si>
    <t>David  Malagon Rosas</t>
  </si>
  <si>
    <t>David Becerril</t>
  </si>
  <si>
    <t>David Bernardo De La Cruz</t>
  </si>
  <si>
    <t>David Flores Hernandez</t>
  </si>
  <si>
    <t>David Ramirez Vargas</t>
  </si>
  <si>
    <t>David Solis Santos</t>
  </si>
  <si>
    <t xml:space="preserve">   Davids Tire Shop LLC (deleted)</t>
  </si>
  <si>
    <t>Total David Solis Santos</t>
  </si>
  <si>
    <t>Delcid, Jose</t>
  </si>
  <si>
    <t>Denis Omar Mejia</t>
  </si>
  <si>
    <t>Denise Martinez</t>
  </si>
  <si>
    <t>Diana Carolina Aviles Centeno</t>
  </si>
  <si>
    <t>Diana Ponce</t>
  </si>
  <si>
    <t>Diana Torres</t>
  </si>
  <si>
    <t>Diego Diaz Perez</t>
  </si>
  <si>
    <t>DIEGO GILBERTO</t>
  </si>
  <si>
    <t>Dieuky Jacques</t>
  </si>
  <si>
    <t>Dilia Bustamante</t>
  </si>
  <si>
    <t>Donald Antonio Buitrago Torrez</t>
  </si>
  <si>
    <t>Dulmy Yanceli Antunez Funez</t>
  </si>
  <si>
    <t>Edgar Raul Gomez Coronado</t>
  </si>
  <si>
    <t>Edgar Vicente Morales</t>
  </si>
  <si>
    <t>Edi Santos Carranza Sanchez</t>
  </si>
  <si>
    <t>Edson Hernan Mangandid Ramos</t>
  </si>
  <si>
    <t>Eduardo cortez soberanis</t>
  </si>
  <si>
    <t>Eduardo Zavala</t>
  </si>
  <si>
    <t>Efrain Del Cid Carrera</t>
  </si>
  <si>
    <t>Eladio Justo Diaz</t>
  </si>
  <si>
    <t>Eleazar Lopez Ramirez</t>
  </si>
  <si>
    <t>Electronicos Nachito #218</t>
  </si>
  <si>
    <t>Elegance Beauty Supplies</t>
  </si>
  <si>
    <t>Elia Zapata Perez</t>
  </si>
  <si>
    <t>Elias Gonzalez, Edin Agustin</t>
  </si>
  <si>
    <t>Elin Fjeldsted &amp; Raul Bravo</t>
  </si>
  <si>
    <t>Eliseo Francisco Lopez Ramirez</t>
  </si>
  <si>
    <t>Ellington Montenegro Padilla (NO NOT SERVICE) (deleted)</t>
  </si>
  <si>
    <t>Emerson Hernandez</t>
  </si>
  <si>
    <t>Emma Urdiera Palacios</t>
  </si>
  <si>
    <t>Emmanuel A Dos Reis Rodriguez</t>
  </si>
  <si>
    <t>Enmanuel Salvador Pagan Francisco</t>
  </si>
  <si>
    <t>Epifania Vidal Delgado</t>
  </si>
  <si>
    <t>Erling David Campos Flores</t>
  </si>
  <si>
    <t>Erving F Zeledon Diaz</t>
  </si>
  <si>
    <t>Esau Cordova Caracas</t>
  </si>
  <si>
    <t>Esmeralda Lissette Guerra Rodriguez</t>
  </si>
  <si>
    <t>Esteban Zelaya</t>
  </si>
  <si>
    <t>Ever Hernandez</t>
  </si>
  <si>
    <t>Fabian Alejan Miranda Gallardo</t>
  </si>
  <si>
    <t>Fajardo Reyes De Ray, Sandra C/O Sulmy Raymundo Fajardo</t>
  </si>
  <si>
    <t>Felicitas Hernandez Anastacio</t>
  </si>
  <si>
    <t>Felipa Angeles Hernandez</t>
  </si>
  <si>
    <t xml:space="preserve">   D Angeles Auto Services LLC (deleted)</t>
  </si>
  <si>
    <t>Total Felipa Angeles Hernandez</t>
  </si>
  <si>
    <t>Felipe Domingo Veliz Turcios</t>
  </si>
  <si>
    <t>Fernando Gonzalez Ochoa</t>
  </si>
  <si>
    <t>Florentina Martinez</t>
  </si>
  <si>
    <t>Flores Lozano, Wendy Karime</t>
  </si>
  <si>
    <t>Florez Marquez, Paulin</t>
  </si>
  <si>
    <t>Folasade Adesola</t>
  </si>
  <si>
    <t>FPS LLP</t>
  </si>
  <si>
    <t>Francisco Ismael Garfias Tinajero</t>
  </si>
  <si>
    <t>Francisco Javier Granados-Barcenas</t>
  </si>
  <si>
    <t>Franco Requena, Esvin Eduardo</t>
  </si>
  <si>
    <t>Fredman Alexander Olivera</t>
  </si>
  <si>
    <t>Fredy Alfonzo Pa Quib</t>
  </si>
  <si>
    <t>Fredy Valverde Ramirez</t>
  </si>
  <si>
    <t>Gabriel Daniel Coranguez Sanchez</t>
  </si>
  <si>
    <t>Galindo Argueta, Edwin R</t>
  </si>
  <si>
    <t>Garcia Garcia, Mariangife</t>
  </si>
  <si>
    <t>Garcia Painting Pro LLC (ACTIVE)</t>
  </si>
  <si>
    <t>Gaspar Cruz Mendez</t>
  </si>
  <si>
    <t>Georgina Olivares</t>
  </si>
  <si>
    <t>Gilardo  Cruz</t>
  </si>
  <si>
    <t>Gilberto A Maldonado Gonzalez</t>
  </si>
  <si>
    <t>Gilberto Narciso Anaya</t>
  </si>
  <si>
    <t>Giovanni Bruno</t>
  </si>
  <si>
    <t>Gloria Chirinos Matute</t>
  </si>
  <si>
    <t>Gonzalez Martinez, Oscar</t>
  </si>
  <si>
    <t xml:space="preserve">   Indy Taping &amp; Drywall, LLC (DO NOT SERVICE) (deleted)</t>
  </si>
  <si>
    <t>Total Gonzalez Martinez, Oscar</t>
  </si>
  <si>
    <t>Graciela terrazas</t>
  </si>
  <si>
    <t>Grecia Rivas</t>
  </si>
  <si>
    <t>Gregorio Orozco Cordero</t>
  </si>
  <si>
    <t>Gretchen Bauza &amp; Blanca Rosa Roget Pernia</t>
  </si>
  <si>
    <t>Griselda Azucena Perez Mendoza</t>
  </si>
  <si>
    <t>Guadalupe Quevedo</t>
  </si>
  <si>
    <t>Guardado Varela, Keila J (deleted)</t>
  </si>
  <si>
    <t>Guevara Ortiz, Domingo</t>
  </si>
  <si>
    <t>Guffey, Robert</t>
  </si>
  <si>
    <t>Gustavo Cruz</t>
  </si>
  <si>
    <t>Gustavo Lopez Jimenez</t>
  </si>
  <si>
    <t>Henry Alvarado</t>
  </si>
  <si>
    <t>Henry Moran Guardado</t>
  </si>
  <si>
    <t>Hernandez Aguilar, Oscar Celin</t>
  </si>
  <si>
    <t>Hernandez Hernandez, Carlos E</t>
  </si>
  <si>
    <t>Hernandez, Diego A.</t>
  </si>
  <si>
    <t>Hernesto Lopez Barajas</t>
  </si>
  <si>
    <t>HERUVIEL VERDE MORALES</t>
  </si>
  <si>
    <t>Heyssel M Montenegro Calvo</t>
  </si>
  <si>
    <t>House Account</t>
  </si>
  <si>
    <t>Hugo Francisco Barragan Vidal</t>
  </si>
  <si>
    <t>Humberto Galarza Anguiano</t>
  </si>
  <si>
    <t>Indy FUDS, LLC</t>
  </si>
  <si>
    <t xml:space="preserve">   CANVAS P.A.D.</t>
  </si>
  <si>
    <t>Total Indy FUDS, LLC</t>
  </si>
  <si>
    <t>Inmer Serrano</t>
  </si>
  <si>
    <t>Iris Liliana Miranda Miranda</t>
  </si>
  <si>
    <t>Isabel  Ovando</t>
  </si>
  <si>
    <t>Israel and Vanessa Ortiz (Joint)</t>
  </si>
  <si>
    <t xml:space="preserve">   Chimis (Active)</t>
  </si>
  <si>
    <t xml:space="preserve">   Iafit Nachari</t>
  </si>
  <si>
    <t xml:space="preserve">      Suriland LLC (Active)</t>
  </si>
  <si>
    <t xml:space="preserve">   Total Iafit Nachari</t>
  </si>
  <si>
    <t xml:space="preserve">   Ortiz, Israel</t>
  </si>
  <si>
    <t xml:space="preserve">      Joyeria Pandora LLC</t>
  </si>
  <si>
    <t xml:space="preserve">   Total Ortiz, Israel</t>
  </si>
  <si>
    <t>Total Israel and Vanessa Ortiz (Joint)</t>
  </si>
  <si>
    <t>Ivan Gutierrez</t>
  </si>
  <si>
    <t xml:space="preserve">   Muebleria Dulce Hogar LLC (NO NOT SERVICE)</t>
  </si>
  <si>
    <t>Total Ivan Gutierrez</t>
  </si>
  <si>
    <t>Ivis Humberto Mejia Aguilar</t>
  </si>
  <si>
    <t>Jader Lopez Rivas</t>
  </si>
  <si>
    <t>Jaime Baltazar Baltazar</t>
  </si>
  <si>
    <t>Jaime Castilla Moreno</t>
  </si>
  <si>
    <t>jairo gonzalez</t>
  </si>
  <si>
    <t>Jason E Catalan</t>
  </si>
  <si>
    <t>JAUREGUI BARAJAS BRAULIO</t>
  </si>
  <si>
    <t>Javier Jimenez Onofre</t>
  </si>
  <si>
    <t>Javier Soriano Marquez</t>
  </si>
  <si>
    <t>JB LLP (ACTIVE)</t>
  </si>
  <si>
    <t>Jefrin Antonio Granado Castro</t>
  </si>
  <si>
    <t>Jesus De Rosa</t>
  </si>
  <si>
    <t>Jesus Garcia</t>
  </si>
  <si>
    <t>Jesus Tobon Rosas</t>
  </si>
  <si>
    <t>Jesus Vega</t>
  </si>
  <si>
    <t xml:space="preserve">   Vega's Lawncare Landscaping LLC (ACTIVE)</t>
  </si>
  <si>
    <t>Total Jesus Vega</t>
  </si>
  <si>
    <t>Jimmy F Flores Lopez</t>
  </si>
  <si>
    <t>Jolbin J Hernandez (BAD DEBT $1600)</t>
  </si>
  <si>
    <t>Jordon, Michael</t>
  </si>
  <si>
    <t>Jorge Luis Juarez Agurcia</t>
  </si>
  <si>
    <t>Jorge Picado</t>
  </si>
  <si>
    <t>Jose  Rosales</t>
  </si>
  <si>
    <t>JOSE ALBERTO RIVERA VARGAS</t>
  </si>
  <si>
    <t>Jose Alonso Pano Cuadra</t>
  </si>
  <si>
    <t>Jose Flooring Services LLC</t>
  </si>
  <si>
    <t xml:space="preserve">   Luis Fernando Lara Lopez</t>
  </si>
  <si>
    <t>Total Jose Flooring Services LLC</t>
  </si>
  <si>
    <t>Jose Humberto Guiterrez</t>
  </si>
  <si>
    <t>Jose Leyve Gomez Juarez</t>
  </si>
  <si>
    <t>Jose Luis Leiva Erazo</t>
  </si>
  <si>
    <t>Jose Miguel Lopez Hernandez</t>
  </si>
  <si>
    <t>Jose Raudales Zuniga</t>
  </si>
  <si>
    <t>Jose Reyes Ramirez</t>
  </si>
  <si>
    <t>Jose Roberto Castillo Baires</t>
  </si>
  <si>
    <t>Jose Roberto Rivera Vargas</t>
  </si>
  <si>
    <t>Jose Samuel Villavicencia</t>
  </si>
  <si>
    <t>Jovita Martinez Palacios</t>
  </si>
  <si>
    <t>JUAN A HERNANDEZ BAUTISTA</t>
  </si>
  <si>
    <t>Juan Alanis</t>
  </si>
  <si>
    <t>Juan Alvarez</t>
  </si>
  <si>
    <t>Juan Carlos Chavez Ayala (deleted)</t>
  </si>
  <si>
    <t>Juan Cristobal Orozco</t>
  </si>
  <si>
    <t>Juan Eduardo Gonzalez Guerrero</t>
  </si>
  <si>
    <t>Juan Francisco Madrigal Sevilla</t>
  </si>
  <si>
    <t>Juan Jose Reyes Ramirez</t>
  </si>
  <si>
    <t>juan mejia mejia</t>
  </si>
  <si>
    <t>Juan Morales Cadena</t>
  </si>
  <si>
    <t>Juan Rosas Perez</t>
  </si>
  <si>
    <t>Juana C. Santos Santos</t>
  </si>
  <si>
    <t>Judith Romero</t>
  </si>
  <si>
    <t>Julio Cesar Montero Hernandez</t>
  </si>
  <si>
    <t>Julio Hernan Bedoya Posada</t>
  </si>
  <si>
    <t>Kelin Paola Barrios Funez</t>
  </si>
  <si>
    <t>Kelin Zepeda Rivera</t>
  </si>
  <si>
    <t>Kelvis Francisco Gutierrez Martinez</t>
  </si>
  <si>
    <t>Kendra S English</t>
  </si>
  <si>
    <t>keny magaly magana</t>
  </si>
  <si>
    <t>Kevin Enrique Martinez-Sandoval</t>
  </si>
  <si>
    <t>Kevin S Alonso Vargas</t>
  </si>
  <si>
    <t>Kevyn Josue Lemus Morales</t>
  </si>
  <si>
    <t>Kondor High Performance LLC (ACTIVE)</t>
  </si>
  <si>
    <t>La Fiesta Burrito, LLC</t>
  </si>
  <si>
    <t xml:space="preserve">   Garcia Cleaning Services (NO NOT SERVICE) (deleted)</t>
  </si>
  <si>
    <t>Total La Fiesta Burrito, LLC</t>
  </si>
  <si>
    <t>La Mixteca Resturant LLC (NO NOT SERVICE) (deleted)</t>
  </si>
  <si>
    <t>Laura L. Covarrubias Galvan</t>
  </si>
  <si>
    <t>Lauro Bernal Vazquez</t>
  </si>
  <si>
    <t xml:space="preserve">   Daniels Landscaping LLC (Active)</t>
  </si>
  <si>
    <t>Total Lauro Bernal Vazquez</t>
  </si>
  <si>
    <t>Lazo Mendez, Lorena L</t>
  </si>
  <si>
    <t>Lenin Esteban Lozo Centeno</t>
  </si>
  <si>
    <t>Leopoldo Camacho</t>
  </si>
  <si>
    <t>Lesmes A Mejia</t>
  </si>
  <si>
    <t>Lesvia Martinez Luna</t>
  </si>
  <si>
    <t>Lilian Xiomara Lagos Baca</t>
  </si>
  <si>
    <t>Lily Sandra Ruiz Guillen</t>
  </si>
  <si>
    <t>Lopez Caal, Wendy Y</t>
  </si>
  <si>
    <t>Lopez Lucas, Jose Luis</t>
  </si>
  <si>
    <t>Lopez Rosario, Derick R</t>
  </si>
  <si>
    <t>Lopez, Juan M</t>
  </si>
  <si>
    <t>Lourdes Torres Hernandez</t>
  </si>
  <si>
    <t>Lourdes Yolanda Chevere Santos</t>
  </si>
  <si>
    <t>Lucia Verde Morales</t>
  </si>
  <si>
    <t>Luciano Vidal Santiago</t>
  </si>
  <si>
    <t>Luis Adrian Dominguez Cano</t>
  </si>
  <si>
    <t>Luis Alberto Verde Morales</t>
  </si>
  <si>
    <t>Luis Alonso Guerra Galdamez</t>
  </si>
  <si>
    <t>Luis Dos Reis Rodriguez</t>
  </si>
  <si>
    <t>Luis Miguel Lotero Bedoya</t>
  </si>
  <si>
    <t>Luis Rios</t>
  </si>
  <si>
    <t>Luis Ruben Gomez Gomez</t>
  </si>
  <si>
    <t>Luquez, Anielka</t>
  </si>
  <si>
    <t>luz maria rodriguez lizardi</t>
  </si>
  <si>
    <t>Macias Aguilar Obed</t>
  </si>
  <si>
    <t>Mairena Lopez, Flor De Maria</t>
  </si>
  <si>
    <t>Manuel G Lopez Gonzalez</t>
  </si>
  <si>
    <t>Manuel Gomez</t>
  </si>
  <si>
    <t>MANUEL MORALES</t>
  </si>
  <si>
    <t>manuel saucedo torres</t>
  </si>
  <si>
    <t>Marbeli Mendez</t>
  </si>
  <si>
    <t>Marcelina G Julian Mendoza</t>
  </si>
  <si>
    <t>Marcelo Ruiz Villegas</t>
  </si>
  <si>
    <t>marco gomez gutierrez</t>
  </si>
  <si>
    <t>Marcos G Velazquez Roblero</t>
  </si>
  <si>
    <t>Maria Aguilar Diaz</t>
  </si>
  <si>
    <t>Maria Alvarado Linares</t>
  </si>
  <si>
    <t>Maria De Carmen</t>
  </si>
  <si>
    <t>Maria Del Rosario Aguilera sanchez</t>
  </si>
  <si>
    <t>Maria Francisca Hernandez Dominguez</t>
  </si>
  <si>
    <t>Maria Gonzales-Alvan</t>
  </si>
  <si>
    <t>MARIA REYNA</t>
  </si>
  <si>
    <t>Maria S. Cortez &amp; Oscar Chicas</t>
  </si>
  <si>
    <t xml:space="preserve">   Maria Susana Cortez Vides</t>
  </si>
  <si>
    <t xml:space="preserve">   Oscar Arnulfo Chicas Romero</t>
  </si>
  <si>
    <t xml:space="preserve">   SCOOTERS CHARGER LLC</t>
  </si>
  <si>
    <t>Total Maria S. Cortez &amp; Oscar Chicas</t>
  </si>
  <si>
    <t>Maria Santos Mejia Salguero</t>
  </si>
  <si>
    <t>Maria Veronica Guerra</t>
  </si>
  <si>
    <t>Mario Roberto Ramos Escobar</t>
  </si>
  <si>
    <t>Marisa Colula</t>
  </si>
  <si>
    <t>Marisela Torres</t>
  </si>
  <si>
    <t>Marisol Mujica Baez</t>
  </si>
  <si>
    <t>Marlon Lopez</t>
  </si>
  <si>
    <t>Martin Ponce</t>
  </si>
  <si>
    <t>Martinez Valdivia, Amy N</t>
  </si>
  <si>
    <t>Martir Figueroa Orellana</t>
  </si>
  <si>
    <t>Masters Group Auto Center - Essence Consulting</t>
  </si>
  <si>
    <t>Matildo Jimenez Mendez</t>
  </si>
  <si>
    <t>Mauricio Aguilar Galindo</t>
  </si>
  <si>
    <t>Mauricio Edgardo Barahona Romero</t>
  </si>
  <si>
    <t xml:space="preserve">   Barahona Technical Service LLC (ACTIVE)</t>
  </si>
  <si>
    <t>Total Mauricio Edgardo Barahona Romero</t>
  </si>
  <si>
    <t>Mauricio Nolasco</t>
  </si>
  <si>
    <t>Mejia Aguiluz, Belkis A</t>
  </si>
  <si>
    <t>Mejia Mejia, Melvin D</t>
  </si>
  <si>
    <t>Miguel Angel Garcia</t>
  </si>
  <si>
    <t>Milton Jose Gutierrez Bendana</t>
  </si>
  <si>
    <t>Miriam S Lindo</t>
  </si>
  <si>
    <t>Mishara Winston</t>
  </si>
  <si>
    <t>Moises De La Cruz</t>
  </si>
  <si>
    <t>Moises Ramirez</t>
  </si>
  <si>
    <t>MORALES RAMIREZ, MARVIN A</t>
  </si>
  <si>
    <t>MORENO MARTINEZ, JANIER IVANIA</t>
  </si>
  <si>
    <t>Mozo, Alejandro</t>
  </si>
  <si>
    <t>MV Computer GMZ LLC (Victor)  DNS - Cancelled (deleted)</t>
  </si>
  <si>
    <t>MV Computer Repair GMZ LLC (Oscar)  DNS - Cancelled (deleted)</t>
  </si>
  <si>
    <t>napolonio gonzalez vasquez</t>
  </si>
  <si>
    <t>Narciso Javier Velasquez</t>
  </si>
  <si>
    <t>narciso torres torres</t>
  </si>
  <si>
    <t>Niels Carvajal-Garcia</t>
  </si>
  <si>
    <t>Noelia A Chavez</t>
  </si>
  <si>
    <t>Noemi Mancia Polanco</t>
  </si>
  <si>
    <t>Nohemi Hernandez</t>
  </si>
  <si>
    <t>Norelis Coello Mujica</t>
  </si>
  <si>
    <t>Norma Oviedo Paredes</t>
  </si>
  <si>
    <t>Norwin F Orozco Orozco</t>
  </si>
  <si>
    <t>Ocon, Bartolome</t>
  </si>
  <si>
    <t>Olga Cazares</t>
  </si>
  <si>
    <t>Olvera Munoz, Susana</t>
  </si>
  <si>
    <t>Omar Concepcion rivera reyes</t>
  </si>
  <si>
    <t>Oneda - Arely</t>
  </si>
  <si>
    <t>Orellana Portillo, Saturnina</t>
  </si>
  <si>
    <t>Orlando Perez</t>
  </si>
  <si>
    <t>Orlando Solano Balcazar</t>
  </si>
  <si>
    <t>Orozco Cordoba, Nelson</t>
  </si>
  <si>
    <t>Ortiz Electronicos, LLC (Active)</t>
  </si>
  <si>
    <t>Oscar Alvaro Obando Urbina</t>
  </si>
  <si>
    <t>Oscar Gonzalez Granados Jr.</t>
  </si>
  <si>
    <t>Oscar Ovando Urbina</t>
  </si>
  <si>
    <t>Oyelami, Adeoye E</t>
  </si>
  <si>
    <t>Oyelami, Ladele F</t>
  </si>
  <si>
    <t>Palacios Montes, Heylin Lisseth</t>
  </si>
  <si>
    <t>Patricio Diaz Landero</t>
  </si>
  <si>
    <t>Pedro Andres Diego</t>
  </si>
  <si>
    <t>Pedro Enriquez</t>
  </si>
  <si>
    <t>Pedro Teran Baza</t>
  </si>
  <si>
    <t>Perez Villegas, Mayumi</t>
  </si>
  <si>
    <t>Piedad Aristizabal</t>
  </si>
  <si>
    <t>Pimienta, Jose</t>
  </si>
  <si>
    <t>Ponce Construction LLC (ACTIVE)</t>
  </si>
  <si>
    <t>Pupuseria Salvadorena El Buen Pastor (Cancelled) (deleted)</t>
  </si>
  <si>
    <t>Quinonez, Liliana</t>
  </si>
  <si>
    <t>R&amp;Y Pluming Services LLC (DO NOT SERVICE BAD DEBT)</t>
  </si>
  <si>
    <t>Rafael Alexander Rodriguez Tobar (deleted)</t>
  </si>
  <si>
    <t>RAFAEL LUZ GARCIA</t>
  </si>
  <si>
    <t>Raices LLC - Carmen Ovando</t>
  </si>
  <si>
    <t>Ramirez, Victor</t>
  </si>
  <si>
    <t>Ramiro Perez Ayala + Isalia Tadeo Vasquez</t>
  </si>
  <si>
    <t>Ramiro Rivera Hernandez</t>
  </si>
  <si>
    <t>Ramos Perez, Noe</t>
  </si>
  <si>
    <t>Ramos Reyes, Euder G</t>
  </si>
  <si>
    <t>Ramos, Victor</t>
  </si>
  <si>
    <t>raul cruz tierrablanca</t>
  </si>
  <si>
    <t>Ravil Aracen</t>
  </si>
  <si>
    <t xml:space="preserve">   Ravil  Aracen Bartolo</t>
  </si>
  <si>
    <t>Total Ravil Aracen</t>
  </si>
  <si>
    <t>Ray Morales</t>
  </si>
  <si>
    <t>Ray's Construction, LLC  (Active)</t>
  </si>
  <si>
    <t>Raymundo Chiroy, Amilcar T</t>
  </si>
  <si>
    <t>Refugio Velasquez Muniz</t>
  </si>
  <si>
    <t>Reyna Gutierrez</t>
  </si>
  <si>
    <t>Reynaldo Reyes</t>
  </si>
  <si>
    <t>reyno garcia moralez</t>
  </si>
  <si>
    <t>Ricardo Machado</t>
  </si>
  <si>
    <t>Ricardo Torres Lopez</t>
  </si>
  <si>
    <t>Rice-Velasquez, Cody</t>
  </si>
  <si>
    <t>Rivas, Javier</t>
  </si>
  <si>
    <t>Rivera Mora, Jose</t>
  </si>
  <si>
    <t>Robert  Rice Jr.</t>
  </si>
  <si>
    <t>Roberto Gutierrez</t>
  </si>
  <si>
    <t>Rodriguez Chiroy, Nestor</t>
  </si>
  <si>
    <t>Rodriguez Hernandez, Sandra J</t>
  </si>
  <si>
    <t>RODRIGUEZ SAGASTUME, KEVIN</t>
  </si>
  <si>
    <t>Rodriguez Tobar, Jonathan</t>
  </si>
  <si>
    <t>Rodriguez, Yasiry</t>
  </si>
  <si>
    <t>ROGELIO VELAZQUEZ</t>
  </si>
  <si>
    <t>Rolando Jose Zeledon Baca</t>
  </si>
  <si>
    <t xml:space="preserve">   Rolando Jose Zeledon Baca LLC (deleted)</t>
  </si>
  <si>
    <t>Total Rolando Jose Zeledon Baca</t>
  </si>
  <si>
    <t>Roman Joel Perez Enamorado</t>
  </si>
  <si>
    <t>Ronald Jose Fajardo Lazo</t>
  </si>
  <si>
    <t>Rony A Sanchez Guifarro</t>
  </si>
  <si>
    <t xml:space="preserve">   Bless Me LLC (deleted)</t>
  </si>
  <si>
    <t>Total Rony A Sanchez Guifarro</t>
  </si>
  <si>
    <t>Rosalinda Ochoa Herrera</t>
  </si>
  <si>
    <t>Rufino Agama Salinas (DO NOT SERVICE BAD DEBT 452.00)</t>
  </si>
  <si>
    <t>Ruiz Gaza, Francisco J</t>
  </si>
  <si>
    <t>Russell, Megan M</t>
  </si>
  <si>
    <t>Salas Cortez, Aurora Elizabeth</t>
  </si>
  <si>
    <t>Salhma Lauro-Alvarado</t>
  </si>
  <si>
    <t>Salomon Lopez Ramirez</t>
  </si>
  <si>
    <t>Sanchez Pernisola, Fernando S</t>
  </si>
  <si>
    <t>Sanchez-Pernisola, Ryan</t>
  </si>
  <si>
    <t>Sangngam, Kittiya</t>
  </si>
  <si>
    <t>Santana Santiago, Elias</t>
  </si>
  <si>
    <t>Santiago Alonso Vargas</t>
  </si>
  <si>
    <t>Santos Mario Avila Rosales</t>
  </si>
  <si>
    <t>Santos Puntos, Teresa</t>
  </si>
  <si>
    <t>Santos Sanchez</t>
  </si>
  <si>
    <t>Saray Sanchez Badilla</t>
  </si>
  <si>
    <t>Saul Puga Jr.</t>
  </si>
  <si>
    <t>Scoop Force, LLC (deleted)</t>
  </si>
  <si>
    <t>Sergio Hernandez Juarez</t>
  </si>
  <si>
    <t>Sergio Lopez Hernandez</t>
  </si>
  <si>
    <t>Shaleese Jefferson</t>
  </si>
  <si>
    <t>Shiferaw T Terefe</t>
  </si>
  <si>
    <t>Silverio Taveras, Juan A.</t>
  </si>
  <si>
    <t>Simon Alcaraz Morales</t>
  </si>
  <si>
    <t>Socorro Escamilla</t>
  </si>
  <si>
    <t>Solis Cleaning Management LLC (BAD DEBT)</t>
  </si>
  <si>
    <t>Square Customer</t>
  </si>
  <si>
    <t>Sun-Ray Foundation LLC (deleted)</t>
  </si>
  <si>
    <t>Super Mercado La Plaza (NO NOT SERVICE) (deleted)</t>
  </si>
  <si>
    <t>TEJADA NUNEZ, GERMAN  A</t>
  </si>
  <si>
    <t>Teresa Adkins</t>
  </si>
  <si>
    <t>Torres  y Torres, Isai</t>
  </si>
  <si>
    <t>Ulises Suarez</t>
  </si>
  <si>
    <t>Various Clients</t>
  </si>
  <si>
    <t>Vazquez De La Cruz, Xochitl De Maria</t>
  </si>
  <si>
    <t>Veloz Corporan, Joel</t>
  </si>
  <si>
    <t>Veronica Elizabeth Rivera Herrera</t>
  </si>
  <si>
    <t>Vicente Vicente, Carlos E</t>
  </si>
  <si>
    <t>Vicky Romero Kanzler</t>
  </si>
  <si>
    <t>Victor gomez</t>
  </si>
  <si>
    <t>Walter Juarez</t>
  </si>
  <si>
    <t>walter perez</t>
  </si>
  <si>
    <t>Wendi Linares (Accountant Collegue)</t>
  </si>
  <si>
    <t>Wendy Mariela Mejia Pineda</t>
  </si>
  <si>
    <t>Wilmer Eduardo Cante Salazar</t>
  </si>
  <si>
    <t>Wilson A Paiz</t>
  </si>
  <si>
    <t>Wuttipong Kamparboot</t>
  </si>
  <si>
    <t>Xotla Valdes, Ulises</t>
  </si>
  <si>
    <t>Yama-Pineda, Annette</t>
  </si>
  <si>
    <t>Yasmin Flores Ascencio</t>
  </si>
  <si>
    <t>Yessenia Karkin Zamora</t>
  </si>
  <si>
    <t>Yessenia Romero</t>
  </si>
  <si>
    <t>Yireh Multi Services LLC (Denisse)</t>
  </si>
  <si>
    <t>yoni edenilson sandova herrera</t>
  </si>
  <si>
    <t>Zamora, Heberto</t>
  </si>
  <si>
    <t>Zapata, Emilio</t>
  </si>
  <si>
    <t>Not Specified</t>
  </si>
  <si>
    <t>TOTAL</t>
  </si>
  <si>
    <t>Monday, Nov 06, 2023 11:41:43 AM GMT-8 - Accrual Basis</t>
  </si>
  <si>
    <t>Servicios Rice-Velasquez Tax MultiServicios LLC</t>
  </si>
  <si>
    <t>Sales by Client Summary</t>
  </si>
  <si>
    <t>January - December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</si>
</sst>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4" fontId="3" fillId="0" borderId="0" xfId="0" applyNumberFormat="true" applyFont="true">
      <alignment wrapText="true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06"/>
  <sheetViews>
    <sheetView workbookViewId="0" tabSelected="true"/>
  </sheetViews>
  <sheetFormatPr defaultRowHeight="15.0"/>
  <cols>
    <col min="1" max="1" width="53.28125" customWidth="true"/>
    <col min="2" max="2" width="41.25" customWidth="true"/>
  </cols>
  <sheetData>
    <row r="1">
      <c r="A1" s="9" t="s">
        <v>499</v>
      </c>
      <c r="B1"/>
    </row>
    <row r="2">
      <c r="A2" s="9" t="s">
        <v>500</v>
      </c>
      <c r="B2"/>
    </row>
    <row r="3">
      <c r="A3" s="10" t="s">
        <v>501</v>
      </c>
      <c r="B3"/>
    </row>
    <row r="5">
      <c r="A5" s="1"/>
      <c r="B5" t="s" s="2">
        <v>0</v>
      </c>
    </row>
    <row r="6">
      <c r="A6" t="s" s="3">
        <v>1</v>
      </c>
      <c r="B6" t="n" s="4">
        <f>343.00</f>
        <v>0.0</v>
      </c>
    </row>
    <row r="7">
      <c r="A7" t="s" s="3">
        <v>2</v>
      </c>
      <c r="B7" t="n" s="4">
        <f>260.00</f>
        <v>0.0</v>
      </c>
    </row>
    <row r="8">
      <c r="A8" t="s" s="3">
        <v>3</v>
      </c>
      <c r="B8" t="n" s="5">
        <f>(B6)+(B7)</f>
        <v>0.0</v>
      </c>
    </row>
    <row r="9">
      <c r="A9" t="s" s="3">
        <v>4</v>
      </c>
      <c r="B9" t="n" s="4">
        <f>300.00</f>
        <v>0.0</v>
      </c>
    </row>
    <row r="10">
      <c r="A10" t="s" s="3">
        <v>5</v>
      </c>
      <c r="B10" t="n" s="4">
        <f>0.00</f>
        <v>0.0</v>
      </c>
    </row>
    <row r="11">
      <c r="A11" t="s" s="3">
        <v>6</v>
      </c>
      <c r="B11" t="n" s="4">
        <f>220.00</f>
        <v>0.0</v>
      </c>
    </row>
    <row r="12">
      <c r="A12" t="s" s="3">
        <v>7</v>
      </c>
      <c r="B12" t="n" s="4">
        <f>540.00</f>
        <v>0.0</v>
      </c>
    </row>
    <row r="13">
      <c r="A13" t="s" s="3">
        <v>8</v>
      </c>
      <c r="B13" t="n" s="4">
        <f>150.00</f>
        <v>0.0</v>
      </c>
    </row>
    <row r="14">
      <c r="A14" t="s" s="3">
        <v>9</v>
      </c>
      <c r="B14" t="n" s="4">
        <f>160.00</f>
        <v>0.0</v>
      </c>
    </row>
    <row r="15">
      <c r="A15" t="s" s="3">
        <v>10</v>
      </c>
      <c r="B15" t="n" s="4">
        <f>190.00</f>
        <v>0.0</v>
      </c>
    </row>
    <row r="16">
      <c r="A16" t="s" s="3">
        <v>11</v>
      </c>
      <c r="B16" t="n" s="4">
        <f>50.00</f>
        <v>0.0</v>
      </c>
    </row>
    <row r="17">
      <c r="A17" t="s" s="3">
        <v>12</v>
      </c>
      <c r="B17" t="n" s="4">
        <f>40.00</f>
        <v>0.0</v>
      </c>
    </row>
    <row r="18">
      <c r="A18" t="s" s="3">
        <v>13</v>
      </c>
      <c r="B18" t="n" s="4">
        <f>105.00</f>
        <v>0.0</v>
      </c>
    </row>
    <row r="19">
      <c r="A19" t="s" s="3">
        <v>14</v>
      </c>
      <c r="B19" t="n" s="4">
        <f>260.00</f>
        <v>0.0</v>
      </c>
    </row>
    <row r="20">
      <c r="A20" t="s" s="3">
        <v>15</v>
      </c>
      <c r="B20" t="n" s="4">
        <f>65.00</f>
        <v>0.0</v>
      </c>
    </row>
    <row r="21">
      <c r="A21" t="s" s="3">
        <v>16</v>
      </c>
      <c r="B21" t="n" s="4">
        <f>-170.00</f>
        <v>0.0</v>
      </c>
    </row>
    <row r="22">
      <c r="A22" t="s" s="3">
        <v>17</v>
      </c>
      <c r="B22" t="n" s="4">
        <f>220.00</f>
        <v>0.0</v>
      </c>
    </row>
    <row r="23">
      <c r="A23" t="s" s="3">
        <v>18</v>
      </c>
      <c r="B23" t="n" s="4">
        <f>968.00</f>
        <v>0.0</v>
      </c>
    </row>
    <row r="24">
      <c r="A24" t="s" s="3">
        <v>19</v>
      </c>
      <c r="B24" t="n" s="4">
        <f>150.00</f>
        <v>0.0</v>
      </c>
    </row>
    <row r="25">
      <c r="A25" t="s" s="3">
        <v>20</v>
      </c>
      <c r="B25" t="n" s="4">
        <f>83.00</f>
        <v>0.0</v>
      </c>
    </row>
    <row r="26">
      <c r="A26" t="s" s="3">
        <v>21</v>
      </c>
      <c r="B26" t="n" s="4">
        <f>30.00</f>
        <v>0.0</v>
      </c>
    </row>
    <row r="27">
      <c r="A27" t="s" s="3">
        <v>22</v>
      </c>
      <c r="B27" t="n" s="4">
        <f>890.00</f>
        <v>0.0</v>
      </c>
    </row>
    <row r="28">
      <c r="A28" t="s" s="3">
        <v>23</v>
      </c>
      <c r="B28" t="n" s="4">
        <f>660.00</f>
        <v>0.0</v>
      </c>
    </row>
    <row r="29">
      <c r="A29" t="s" s="3">
        <v>24</v>
      </c>
      <c r="B29" t="n" s="5">
        <f>(B27)+(B28)</f>
        <v>0.0</v>
      </c>
    </row>
    <row r="30">
      <c r="A30" t="s" s="3">
        <v>25</v>
      </c>
      <c r="B30" t="n" s="4">
        <f>320.00</f>
        <v>0.0</v>
      </c>
    </row>
    <row r="31">
      <c r="A31" t="s" s="3">
        <v>26</v>
      </c>
      <c r="B31" t="n" s="4">
        <f>1071.00</f>
        <v>0.0</v>
      </c>
    </row>
    <row r="32">
      <c r="A32" t="s" s="3">
        <v>27</v>
      </c>
      <c r="B32" t="n" s="4">
        <f>510.00</f>
        <v>0.0</v>
      </c>
    </row>
    <row r="33">
      <c r="A33" t="s" s="3">
        <v>28</v>
      </c>
      <c r="B33" t="n" s="4">
        <f>20.00</f>
        <v>0.0</v>
      </c>
    </row>
    <row r="34">
      <c r="A34" t="s" s="3">
        <v>29</v>
      </c>
      <c r="B34" t="n" s="4">
        <f>476.00</f>
        <v>0.0</v>
      </c>
    </row>
    <row r="35">
      <c r="A35" t="s" s="3">
        <v>30</v>
      </c>
      <c r="B35" t="n" s="4">
        <f>210.00</f>
        <v>0.0</v>
      </c>
    </row>
    <row r="36">
      <c r="A36" t="s" s="3">
        <v>31</v>
      </c>
      <c r="B36" t="n" s="4">
        <f>0.00</f>
        <v>0.0</v>
      </c>
    </row>
    <row r="37">
      <c r="A37" t="s" s="3">
        <v>32</v>
      </c>
      <c r="B37" t="n" s="4">
        <f>150.00</f>
        <v>0.0</v>
      </c>
    </row>
    <row r="38">
      <c r="A38" t="s" s="3">
        <v>33</v>
      </c>
      <c r="B38" t="n" s="4">
        <f>150.00</f>
        <v>0.0</v>
      </c>
    </row>
    <row r="39">
      <c r="A39" t="s" s="3">
        <v>34</v>
      </c>
      <c r="B39" t="n" s="4">
        <f>150.00</f>
        <v>0.0</v>
      </c>
    </row>
    <row r="40">
      <c r="A40" t="s" s="3">
        <v>35</v>
      </c>
      <c r="B40" t="n" s="4">
        <f>135.00</f>
        <v>0.0</v>
      </c>
    </row>
    <row r="41">
      <c r="A41" t="s" s="3">
        <v>36</v>
      </c>
      <c r="B41" t="n" s="4">
        <f>150.00</f>
        <v>0.0</v>
      </c>
    </row>
    <row r="42">
      <c r="A42" t="s" s="3">
        <v>37</v>
      </c>
      <c r="B42" t="n" s="4">
        <f>80.00</f>
        <v>0.0</v>
      </c>
    </row>
    <row r="43">
      <c r="A43" t="s" s="3">
        <v>38</v>
      </c>
      <c r="B43" t="n" s="4">
        <f>163.00</f>
        <v>0.0</v>
      </c>
    </row>
    <row r="44">
      <c r="A44" t="s" s="3">
        <v>39</v>
      </c>
      <c r="B44" t="n" s="4">
        <f>400.00</f>
        <v>0.0</v>
      </c>
    </row>
    <row r="45">
      <c r="A45" t="s" s="3">
        <v>40</v>
      </c>
      <c r="B45" t="n" s="4">
        <f>-6113.00</f>
        <v>0.0</v>
      </c>
    </row>
    <row r="46">
      <c r="A46" t="s" s="3">
        <v>41</v>
      </c>
      <c r="B46" t="n" s="4">
        <f>300.00</f>
        <v>0.0</v>
      </c>
    </row>
    <row r="47">
      <c r="A47" t="s" s="3">
        <v>42</v>
      </c>
      <c r="B47" t="n" s="4">
        <f>100.00</f>
        <v>0.0</v>
      </c>
    </row>
    <row r="48">
      <c r="A48" t="s" s="3">
        <v>43</v>
      </c>
      <c r="B48" t="n" s="4">
        <f>20.00</f>
        <v>0.0</v>
      </c>
    </row>
    <row r="49">
      <c r="A49" t="s" s="3">
        <v>44</v>
      </c>
      <c r="B49" t="n" s="4">
        <f>150.00</f>
        <v>0.0</v>
      </c>
    </row>
    <row r="50">
      <c r="A50" t="s" s="3">
        <v>45</v>
      </c>
      <c r="B50" t="n" s="4">
        <f>3110.00</f>
        <v>0.0</v>
      </c>
    </row>
    <row r="51">
      <c r="A51" t="s" s="3">
        <v>46</v>
      </c>
      <c r="B51" t="n" s="4">
        <f>2050.00</f>
        <v>0.0</v>
      </c>
    </row>
    <row r="52">
      <c r="A52" t="s" s="3">
        <v>47</v>
      </c>
      <c r="B52" t="n" s="4">
        <f>1805.00</f>
        <v>0.0</v>
      </c>
    </row>
    <row r="53">
      <c r="A53" t="s" s="3">
        <v>48</v>
      </c>
      <c r="B53" t="n" s="4">
        <f>150.00</f>
        <v>0.0</v>
      </c>
    </row>
    <row r="54">
      <c r="A54" t="s" s="3">
        <v>49</v>
      </c>
      <c r="B54" t="n" s="4">
        <f>265.00</f>
        <v>0.0</v>
      </c>
    </row>
    <row r="55">
      <c r="A55" t="s" s="3">
        <v>50</v>
      </c>
      <c r="B55" t="n" s="4">
        <f>78.00</f>
        <v>0.0</v>
      </c>
    </row>
    <row r="56">
      <c r="A56" t="s" s="3">
        <v>51</v>
      </c>
      <c r="B56" t="n" s="4">
        <f>1010.00</f>
        <v>0.0</v>
      </c>
    </row>
    <row r="57">
      <c r="A57" t="s" s="3">
        <v>52</v>
      </c>
      <c r="B57" s="6"/>
    </row>
    <row r="58">
      <c r="A58" t="s" s="3">
        <v>53</v>
      </c>
      <c r="B58" t="n" s="4">
        <f>523.46</f>
        <v>0.0</v>
      </c>
    </row>
    <row r="59">
      <c r="A59" t="s" s="3">
        <v>54</v>
      </c>
      <c r="B59" t="n" s="5">
        <f>(B57)+(B58)</f>
        <v>0.0</v>
      </c>
    </row>
    <row r="60">
      <c r="A60" t="s" s="3">
        <v>55</v>
      </c>
      <c r="B60" s="6"/>
    </row>
    <row r="61">
      <c r="A61" t="s" s="3">
        <v>56</v>
      </c>
      <c r="B61" t="n" s="4">
        <f>119.00</f>
        <v>0.0</v>
      </c>
    </row>
    <row r="62">
      <c r="A62" t="s" s="3">
        <v>57</v>
      </c>
      <c r="B62" t="n" s="5">
        <f>(B60)+(B61)</f>
        <v>0.0</v>
      </c>
    </row>
    <row r="63">
      <c r="A63" t="s" s="3">
        <v>58</v>
      </c>
      <c r="B63" t="n" s="4">
        <f>157.56</f>
        <v>0.0</v>
      </c>
    </row>
    <row r="64">
      <c r="A64" t="s" s="3">
        <v>59</v>
      </c>
      <c r="B64" t="n" s="4">
        <f>135.00</f>
        <v>0.0</v>
      </c>
    </row>
    <row r="65">
      <c r="A65" t="s" s="3">
        <v>60</v>
      </c>
      <c r="B65" t="n" s="4">
        <f>150.00</f>
        <v>0.0</v>
      </c>
    </row>
    <row r="66">
      <c r="A66" t="s" s="3">
        <v>61</v>
      </c>
      <c r="B66" t="n" s="4">
        <f>260.00</f>
        <v>0.0</v>
      </c>
    </row>
    <row r="67">
      <c r="A67" t="s" s="3">
        <v>62</v>
      </c>
      <c r="B67" t="n" s="4">
        <f>259.00</f>
        <v>0.0</v>
      </c>
    </row>
    <row r="68">
      <c r="A68" t="s" s="3">
        <v>63</v>
      </c>
      <c r="B68" t="n" s="4">
        <f>270.00</f>
        <v>0.0</v>
      </c>
    </row>
    <row r="69">
      <c r="A69" t="s" s="3">
        <v>64</v>
      </c>
      <c r="B69" t="n" s="4">
        <f>102.00</f>
        <v>0.0</v>
      </c>
    </row>
    <row r="70">
      <c r="A70" t="s" s="3">
        <v>65</v>
      </c>
      <c r="B70" t="n" s="4">
        <f>1669.00</f>
        <v>0.0</v>
      </c>
    </row>
    <row r="71">
      <c r="A71" t="s" s="3">
        <v>66</v>
      </c>
      <c r="B71" t="n" s="4">
        <f>175.25</f>
        <v>0.0</v>
      </c>
    </row>
    <row r="72">
      <c r="A72" t="s" s="3">
        <v>67</v>
      </c>
      <c r="B72" t="n" s="4">
        <f>410.00</f>
        <v>0.0</v>
      </c>
    </row>
    <row r="73">
      <c r="A73" t="s" s="3">
        <v>68</v>
      </c>
      <c r="B73" t="n" s="4">
        <f>310.00</f>
        <v>0.0</v>
      </c>
    </row>
    <row r="74">
      <c r="A74" t="s" s="3">
        <v>69</v>
      </c>
      <c r="B74" t="n" s="4">
        <f>320.00</f>
        <v>0.0</v>
      </c>
    </row>
    <row r="75">
      <c r="A75" t="s" s="3">
        <v>70</v>
      </c>
      <c r="B75" t="n" s="4">
        <f>220.00</f>
        <v>0.0</v>
      </c>
    </row>
    <row r="76">
      <c r="A76" t="s" s="3">
        <v>71</v>
      </c>
      <c r="B76" t="n" s="4">
        <f>190.00</f>
        <v>0.0</v>
      </c>
    </row>
    <row r="77">
      <c r="A77" t="s" s="3">
        <v>72</v>
      </c>
      <c r="B77" t="n" s="4">
        <f>380.00</f>
        <v>0.0</v>
      </c>
    </row>
    <row r="78">
      <c r="A78" t="s" s="3">
        <v>73</v>
      </c>
      <c r="B78" t="n" s="4">
        <f>288.00</f>
        <v>0.0</v>
      </c>
    </row>
    <row r="79">
      <c r="A79" t="s" s="3">
        <v>74</v>
      </c>
      <c r="B79" t="n" s="4">
        <f>1269.00</f>
        <v>0.0</v>
      </c>
    </row>
    <row r="80">
      <c r="A80" t="s" s="3">
        <v>75</v>
      </c>
      <c r="B80" t="n" s="4">
        <f>65.00</f>
        <v>0.0</v>
      </c>
    </row>
    <row r="81">
      <c r="A81" t="s" s="3">
        <v>76</v>
      </c>
      <c r="B81" t="n" s="4">
        <f>150.00</f>
        <v>0.0</v>
      </c>
    </row>
    <row r="82">
      <c r="A82" t="s" s="3">
        <v>77</v>
      </c>
      <c r="B82" t="n" s="4">
        <f>300.00</f>
        <v>0.0</v>
      </c>
    </row>
    <row r="83">
      <c r="A83" t="s" s="3">
        <v>78</v>
      </c>
      <c r="B83" t="n" s="4">
        <f>1076.18</f>
        <v>0.0</v>
      </c>
    </row>
    <row r="84">
      <c r="A84" t="s" s="3">
        <v>79</v>
      </c>
      <c r="B84" t="n" s="4">
        <f>495.00</f>
        <v>0.0</v>
      </c>
    </row>
    <row r="85">
      <c r="A85" t="s" s="3">
        <v>80</v>
      </c>
      <c r="B85" t="n" s="4">
        <f>100.00</f>
        <v>0.0</v>
      </c>
    </row>
    <row r="86">
      <c r="A86" t="s" s="3">
        <v>81</v>
      </c>
      <c r="B86" t="n" s="4">
        <f>3436.25</f>
        <v>0.0</v>
      </c>
    </row>
    <row r="87">
      <c r="A87" t="s" s="3">
        <v>82</v>
      </c>
      <c r="B87" t="n" s="4">
        <f>150.00</f>
        <v>0.0</v>
      </c>
    </row>
    <row r="88">
      <c r="A88" t="s" s="3">
        <v>83</v>
      </c>
      <c r="B88" t="n" s="4">
        <f>500.00</f>
        <v>0.0</v>
      </c>
    </row>
    <row r="89">
      <c r="A89" t="s" s="3">
        <v>84</v>
      </c>
      <c r="B89" t="n" s="4">
        <f>150.00</f>
        <v>0.0</v>
      </c>
    </row>
    <row r="90">
      <c r="A90" t="s" s="3">
        <v>85</v>
      </c>
      <c r="B90" t="n" s="4">
        <f>833.00</f>
        <v>0.0</v>
      </c>
    </row>
    <row r="91">
      <c r="A91" t="s" s="3">
        <v>86</v>
      </c>
      <c r="B91" t="n" s="4">
        <f>185.00</f>
        <v>0.0</v>
      </c>
    </row>
    <row r="92">
      <c r="A92" t="s" s="3">
        <v>87</v>
      </c>
      <c r="B92" t="n" s="4">
        <f>38.00</f>
        <v>0.0</v>
      </c>
    </row>
    <row r="93">
      <c r="A93" t="s" s="3">
        <v>88</v>
      </c>
      <c r="B93" t="n" s="4">
        <f>130.00</f>
        <v>0.0</v>
      </c>
    </row>
    <row r="94">
      <c r="A94" t="s" s="3">
        <v>89</v>
      </c>
      <c r="B94" t="n" s="4">
        <f>3010.00</f>
        <v>0.0</v>
      </c>
    </row>
    <row r="95">
      <c r="A95" t="s" s="3">
        <v>90</v>
      </c>
      <c r="B95" t="n" s="4">
        <f>50.00</f>
        <v>0.0</v>
      </c>
    </row>
    <row r="96">
      <c r="A96" t="s" s="3">
        <v>91</v>
      </c>
      <c r="B96" t="n" s="4">
        <f>240.00</f>
        <v>0.0</v>
      </c>
    </row>
    <row r="97">
      <c r="A97" t="s" s="3">
        <v>92</v>
      </c>
      <c r="B97" t="n" s="4">
        <f>227.70</f>
        <v>0.0</v>
      </c>
    </row>
    <row r="98">
      <c r="A98" t="s" s="3">
        <v>93</v>
      </c>
      <c r="B98" t="n" s="4">
        <f>740.00</f>
        <v>0.0</v>
      </c>
    </row>
    <row r="99">
      <c r="A99" t="s" s="3">
        <v>94</v>
      </c>
      <c r="B99" t="n" s="4">
        <f>510.00</f>
        <v>0.0</v>
      </c>
    </row>
    <row r="100">
      <c r="A100" t="s" s="3">
        <v>95</v>
      </c>
      <c r="B100" t="n" s="4">
        <f>270.00</f>
        <v>0.0</v>
      </c>
    </row>
    <row r="101">
      <c r="A101" t="s" s="3">
        <v>96</v>
      </c>
      <c r="B101" t="n" s="4">
        <f>500.00</f>
        <v>0.0</v>
      </c>
    </row>
    <row r="102">
      <c r="A102" t="s" s="3">
        <v>97</v>
      </c>
      <c r="B102" t="n" s="4">
        <f>220.00</f>
        <v>0.0</v>
      </c>
    </row>
    <row r="103">
      <c r="A103" t="s" s="3">
        <v>98</v>
      </c>
      <c r="B103" t="n" s="4">
        <f>50.00</f>
        <v>0.0</v>
      </c>
    </row>
    <row r="104">
      <c r="A104" t="s" s="3">
        <v>99</v>
      </c>
      <c r="B104" t="n" s="4">
        <f>220.00</f>
        <v>0.0</v>
      </c>
    </row>
    <row r="105">
      <c r="A105" t="s" s="3">
        <v>100</v>
      </c>
      <c r="B105" s="6"/>
    </row>
    <row r="106">
      <c r="A106" t="s" s="3">
        <v>101</v>
      </c>
      <c r="B106" t="n" s="4">
        <f>594.00</f>
        <v>0.0</v>
      </c>
    </row>
    <row r="107">
      <c r="A107" t="s" s="3">
        <v>102</v>
      </c>
      <c r="B107" t="n" s="5">
        <f>(B105)+(B106)</f>
        <v>0.0</v>
      </c>
    </row>
    <row r="108">
      <c r="A108" t="s" s="3">
        <v>103</v>
      </c>
      <c r="B108" t="n" s="4">
        <f>50.00</f>
        <v>0.0</v>
      </c>
    </row>
    <row r="109">
      <c r="A109" t="s" s="3">
        <v>104</v>
      </c>
      <c r="B109" t="n" s="4">
        <f>-510.00</f>
        <v>0.0</v>
      </c>
    </row>
    <row r="110">
      <c r="A110" t="s" s="3">
        <v>105</v>
      </c>
      <c r="B110" t="n" s="4">
        <f>75.00</f>
        <v>0.0</v>
      </c>
    </row>
    <row r="111">
      <c r="A111" t="s" s="3">
        <v>106</v>
      </c>
      <c r="B111" t="n" s="4">
        <f>0.00</f>
        <v>0.0</v>
      </c>
    </row>
    <row r="112">
      <c r="A112" t="s" s="3">
        <v>107</v>
      </c>
      <c r="B112" t="n" s="4">
        <f>2020.00</f>
        <v>0.0</v>
      </c>
    </row>
    <row r="113">
      <c r="A113" t="s" s="3">
        <v>108</v>
      </c>
      <c r="B113" t="n" s="4">
        <f>461.69</f>
        <v>0.0</v>
      </c>
    </row>
    <row r="114">
      <c r="A114" t="s" s="3">
        <v>109</v>
      </c>
      <c r="B114" t="n" s="4">
        <f>798.00</f>
        <v>0.0</v>
      </c>
    </row>
    <row r="115">
      <c r="A115" t="s" s="3">
        <v>110</v>
      </c>
      <c r="B115" t="n" s="4">
        <f>30.00</f>
        <v>0.0</v>
      </c>
    </row>
    <row r="116">
      <c r="A116" t="s" s="3">
        <v>111</v>
      </c>
      <c r="B116" t="n" s="4">
        <f>745.00</f>
        <v>0.0</v>
      </c>
    </row>
    <row r="117">
      <c r="A117" t="s" s="3">
        <v>112</v>
      </c>
      <c r="B117" t="n" s="4">
        <f>440.00</f>
        <v>0.0</v>
      </c>
    </row>
    <row r="118">
      <c r="A118" t="s" s="3">
        <v>113</v>
      </c>
      <c r="B118" t="n" s="4">
        <f>620.00</f>
        <v>0.0</v>
      </c>
    </row>
    <row r="119">
      <c r="A119" t="s" s="3">
        <v>114</v>
      </c>
      <c r="B119" t="n" s="4">
        <f>90.00</f>
        <v>0.0</v>
      </c>
    </row>
    <row r="120">
      <c r="A120" t="s" s="3">
        <v>115</v>
      </c>
      <c r="B120" t="n" s="4">
        <f>170.00</f>
        <v>0.0</v>
      </c>
    </row>
    <row r="121">
      <c r="A121" t="s" s="3">
        <v>116</v>
      </c>
      <c r="B121" t="n" s="4">
        <f>2256.00</f>
        <v>0.0</v>
      </c>
    </row>
    <row r="122">
      <c r="A122" t="s" s="3">
        <v>117</v>
      </c>
      <c r="B122" t="n" s="4">
        <f>180.00</f>
        <v>0.0</v>
      </c>
    </row>
    <row r="123">
      <c r="A123" t="s" s="3">
        <v>118</v>
      </c>
      <c r="B123" t="n" s="4">
        <f>300.00</f>
        <v>0.0</v>
      </c>
    </row>
    <row r="124">
      <c r="A124" t="s" s="3">
        <v>119</v>
      </c>
      <c r="B124" t="n" s="4">
        <f>740.00</f>
        <v>0.0</v>
      </c>
    </row>
    <row r="125">
      <c r="A125" t="s" s="3">
        <v>120</v>
      </c>
      <c r="B125" t="n" s="4">
        <f>514.00</f>
        <v>0.0</v>
      </c>
    </row>
    <row r="126">
      <c r="A126" t="s" s="3">
        <v>121</v>
      </c>
      <c r="B126" t="n" s="4">
        <f>150.00</f>
        <v>0.0</v>
      </c>
    </row>
    <row r="127">
      <c r="A127" t="s" s="3">
        <v>122</v>
      </c>
      <c r="B127" t="n" s="4">
        <f>1540.00</f>
        <v>0.0</v>
      </c>
    </row>
    <row r="128">
      <c r="A128" t="s" s="3">
        <v>123</v>
      </c>
      <c r="B128" t="n" s="4">
        <f>397.00</f>
        <v>0.0</v>
      </c>
    </row>
    <row r="129">
      <c r="A129" t="s" s="3">
        <v>124</v>
      </c>
      <c r="B129" t="n" s="4">
        <f>286.90</f>
        <v>0.0</v>
      </c>
    </row>
    <row r="130">
      <c r="A130" t="s" s="3">
        <v>125</v>
      </c>
      <c r="B130" t="n" s="4">
        <f>70.00</f>
        <v>0.0</v>
      </c>
    </row>
    <row r="131">
      <c r="A131" t="s" s="3">
        <v>126</v>
      </c>
      <c r="B131" t="n" s="4">
        <f>300.00</f>
        <v>0.0</v>
      </c>
    </row>
    <row r="132">
      <c r="A132" t="s" s="3">
        <v>127</v>
      </c>
      <c r="B132" t="n" s="4">
        <f>260.00</f>
        <v>0.0</v>
      </c>
    </row>
    <row r="133">
      <c r="A133" t="s" s="3">
        <v>128</v>
      </c>
      <c r="B133" t="n" s="4">
        <f>220.00</f>
        <v>0.0</v>
      </c>
    </row>
    <row r="134">
      <c r="A134" t="s" s="3">
        <v>129</v>
      </c>
      <c r="B134" t="n" s="4">
        <f>1374.00</f>
        <v>0.0</v>
      </c>
    </row>
    <row r="135">
      <c r="A135" t="s" s="3">
        <v>130</v>
      </c>
      <c r="B135" t="n" s="4">
        <f>238.00</f>
        <v>0.0</v>
      </c>
    </row>
    <row r="136">
      <c r="A136" t="s" s="3">
        <v>131</v>
      </c>
      <c r="B136" t="n" s="4">
        <f>220.00</f>
        <v>0.0</v>
      </c>
    </row>
    <row r="137">
      <c r="A137" t="s" s="3">
        <v>132</v>
      </c>
      <c r="B137" t="n" s="4">
        <f>160.00</f>
        <v>0.0</v>
      </c>
    </row>
    <row r="138">
      <c r="A138" t="s" s="3">
        <v>133</v>
      </c>
      <c r="B138" t="n" s="4">
        <f>248.40</f>
        <v>0.0</v>
      </c>
    </row>
    <row r="139">
      <c r="A139" t="s" s="3">
        <v>134</v>
      </c>
      <c r="B139" t="n" s="4">
        <f>150.00</f>
        <v>0.0</v>
      </c>
    </row>
    <row r="140">
      <c r="A140" t="s" s="3">
        <v>135</v>
      </c>
      <c r="B140" t="n" s="4">
        <f>75.00</f>
        <v>0.0</v>
      </c>
    </row>
    <row r="141">
      <c r="A141" t="s" s="3">
        <v>136</v>
      </c>
      <c r="B141" t="n" s="4">
        <f>110.00</f>
        <v>0.0</v>
      </c>
    </row>
    <row r="142">
      <c r="A142" t="s" s="3">
        <v>137</v>
      </c>
      <c r="B142" t="n" s="4">
        <f>25.00</f>
        <v>0.0</v>
      </c>
    </row>
    <row r="143">
      <c r="A143" t="s" s="3">
        <v>138</v>
      </c>
      <c r="B143" t="n" s="4">
        <f>106.00</f>
        <v>0.0</v>
      </c>
    </row>
    <row r="144">
      <c r="A144" t="s" s="3">
        <v>139</v>
      </c>
      <c r="B144" t="n" s="4">
        <f>220.00</f>
        <v>0.0</v>
      </c>
    </row>
    <row r="145">
      <c r="A145" t="s" s="3">
        <v>140</v>
      </c>
      <c r="B145" t="n" s="4">
        <f>938.00</f>
        <v>0.0</v>
      </c>
    </row>
    <row r="146">
      <c r="A146" t="s" s="3">
        <v>141</v>
      </c>
      <c r="B146" t="n" s="4">
        <f>0.00</f>
        <v>0.0</v>
      </c>
    </row>
    <row r="147">
      <c r="A147" t="s" s="3">
        <v>142</v>
      </c>
      <c r="B147" t="n" s="4">
        <f>145.00</f>
        <v>0.0</v>
      </c>
    </row>
    <row r="148">
      <c r="A148" t="s" s="3">
        <v>143</v>
      </c>
      <c r="B148" t="n" s="4">
        <f>227.70</f>
        <v>0.0</v>
      </c>
    </row>
    <row r="149">
      <c r="A149" t="s" s="3">
        <v>144</v>
      </c>
      <c r="B149" t="n" s="4">
        <f>1945.00</f>
        <v>0.0</v>
      </c>
    </row>
    <row r="150">
      <c r="A150" t="s" s="3">
        <v>145</v>
      </c>
      <c r="B150" s="6"/>
    </row>
    <row r="151">
      <c r="A151" t="s" s="3">
        <v>146</v>
      </c>
      <c r="B151" t="n" s="4">
        <f>467.00</f>
        <v>0.0</v>
      </c>
    </row>
    <row r="152">
      <c r="A152" t="s" s="3">
        <v>147</v>
      </c>
      <c r="B152" t="n" s="5">
        <f>(B150)+(B151)</f>
        <v>0.0</v>
      </c>
    </row>
    <row r="153">
      <c r="A153" t="s" s="3">
        <v>148</v>
      </c>
      <c r="B153" t="n" s="4">
        <f>30.00</f>
        <v>0.0</v>
      </c>
    </row>
    <row r="154">
      <c r="A154" t="s" s="3">
        <v>149</v>
      </c>
      <c r="B154" t="n" s="4">
        <f>10.00</f>
        <v>0.0</v>
      </c>
    </row>
    <row r="155">
      <c r="A155" t="s" s="3">
        <v>150</v>
      </c>
      <c r="B155" t="n" s="4">
        <f>222.00</f>
        <v>0.0</v>
      </c>
    </row>
    <row r="156">
      <c r="A156" t="s" s="3">
        <v>151</v>
      </c>
      <c r="B156" t="n" s="4">
        <f>150.00</f>
        <v>0.0</v>
      </c>
    </row>
    <row r="157">
      <c r="A157" t="s" s="3">
        <v>152</v>
      </c>
      <c r="B157" t="n" s="4">
        <f>260.00</f>
        <v>0.0</v>
      </c>
    </row>
    <row r="158">
      <c r="A158" t="s" s="3">
        <v>153</v>
      </c>
      <c r="B158" t="n" s="4">
        <f>0.00</f>
        <v>0.0</v>
      </c>
    </row>
    <row r="159">
      <c r="A159" t="s" s="3">
        <v>154</v>
      </c>
      <c r="B159" t="n" s="4">
        <f>1160.00</f>
        <v>0.0</v>
      </c>
    </row>
    <row r="160">
      <c r="A160" t="s" s="3">
        <v>155</v>
      </c>
      <c r="B160" t="n" s="4">
        <f>145.00</f>
        <v>0.0</v>
      </c>
    </row>
    <row r="161">
      <c r="A161" t="s" s="3">
        <v>156</v>
      </c>
      <c r="B161" t="n" s="4">
        <f>118.33</f>
        <v>0.0</v>
      </c>
    </row>
    <row r="162">
      <c r="A162" t="s" s="3">
        <v>157</v>
      </c>
      <c r="B162" t="n" s="4">
        <f>260.00</f>
        <v>0.0</v>
      </c>
    </row>
    <row r="163">
      <c r="A163" t="s" s="3">
        <v>158</v>
      </c>
      <c r="B163" t="n" s="4">
        <f>220.00</f>
        <v>0.0</v>
      </c>
    </row>
    <row r="164">
      <c r="A164" t="s" s="3">
        <v>159</v>
      </c>
      <c r="B164" t="n" s="4">
        <f>1010.00</f>
        <v>0.0</v>
      </c>
    </row>
    <row r="165">
      <c r="A165" t="s" s="3">
        <v>160</v>
      </c>
      <c r="B165" t="n" s="4">
        <f>-1499.37</f>
        <v>0.0</v>
      </c>
    </row>
    <row r="166">
      <c r="A166" t="s" s="3">
        <v>161</v>
      </c>
      <c r="B166" t="n" s="4">
        <f>504.04</f>
        <v>0.0</v>
      </c>
    </row>
    <row r="167">
      <c r="A167" t="s" s="3">
        <v>162</v>
      </c>
      <c r="B167" t="n" s="4">
        <f>300.00</f>
        <v>0.0</v>
      </c>
    </row>
    <row r="168">
      <c r="A168" t="s" s="3">
        <v>163</v>
      </c>
      <c r="B168" t="n" s="4">
        <f>200.00</f>
        <v>0.0</v>
      </c>
    </row>
    <row r="169">
      <c r="A169" t="s" s="3">
        <v>164</v>
      </c>
      <c r="B169" t="n" s="4">
        <f>1276.54</f>
        <v>0.0</v>
      </c>
    </row>
    <row r="170">
      <c r="A170" t="s" s="3">
        <v>165</v>
      </c>
      <c r="B170" t="n" s="4">
        <f>55.00</f>
        <v>0.0</v>
      </c>
    </row>
    <row r="171">
      <c r="A171" t="s" s="3">
        <v>166</v>
      </c>
      <c r="B171" t="n" s="4">
        <f>240.00</f>
        <v>0.0</v>
      </c>
    </row>
    <row r="172">
      <c r="A172" t="s" s="3">
        <v>167</v>
      </c>
      <c r="B172" t="n" s="4">
        <f>2020.00</f>
        <v>0.0</v>
      </c>
    </row>
    <row r="173">
      <c r="A173" t="s" s="3">
        <v>168</v>
      </c>
      <c r="B173" t="n" s="4">
        <f>295.00</f>
        <v>0.0</v>
      </c>
    </row>
    <row r="174">
      <c r="A174" t="s" s="3">
        <v>169</v>
      </c>
      <c r="B174" t="n" s="4">
        <f>60.00</f>
        <v>0.0</v>
      </c>
    </row>
    <row r="175">
      <c r="A175" t="s" s="3">
        <v>170</v>
      </c>
      <c r="B175" t="n" s="4">
        <f>405.00</f>
        <v>0.0</v>
      </c>
    </row>
    <row r="176">
      <c r="A176" t="s" s="3">
        <v>171</v>
      </c>
      <c r="B176" t="n" s="4">
        <f>164.67</f>
        <v>0.0</v>
      </c>
    </row>
    <row r="177">
      <c r="A177" t="s" s="3">
        <v>172</v>
      </c>
      <c r="B177" s="6"/>
    </row>
    <row r="178">
      <c r="A178" t="s" s="3">
        <v>173</v>
      </c>
      <c r="B178" t="n" s="4">
        <f>464.00</f>
        <v>0.0</v>
      </c>
    </row>
    <row r="179">
      <c r="A179" t="s" s="3">
        <v>174</v>
      </c>
      <c r="B179" t="n" s="5">
        <f>(B177)+(B178)</f>
        <v>0.0</v>
      </c>
    </row>
    <row r="180">
      <c r="A180" t="s" s="3">
        <v>175</v>
      </c>
      <c r="B180" t="n" s="4">
        <f>270.00</f>
        <v>0.0</v>
      </c>
    </row>
    <row r="181">
      <c r="A181" t="s" s="3">
        <v>176</v>
      </c>
      <c r="B181" t="n" s="4">
        <f>60.00</f>
        <v>0.0</v>
      </c>
    </row>
    <row r="182">
      <c r="A182" t="s" s="3">
        <v>177</v>
      </c>
      <c r="B182" t="n" s="4">
        <f>150.00</f>
        <v>0.0</v>
      </c>
    </row>
    <row r="183">
      <c r="A183" t="s" s="3">
        <v>178</v>
      </c>
      <c r="B183" t="n" s="4">
        <f>155.25</f>
        <v>0.0</v>
      </c>
    </row>
    <row r="184">
      <c r="A184" t="s" s="3">
        <v>179</v>
      </c>
      <c r="B184" t="n" s="4">
        <f>90.00</f>
        <v>0.0</v>
      </c>
    </row>
    <row r="185">
      <c r="A185" t="s" s="3">
        <v>180</v>
      </c>
      <c r="B185" t="n" s="4">
        <f>75.00</f>
        <v>0.0</v>
      </c>
    </row>
    <row r="186">
      <c r="A186" t="s" s="3">
        <v>181</v>
      </c>
      <c r="B186" t="n" s="4">
        <f>523.00</f>
        <v>0.0</v>
      </c>
    </row>
    <row r="187">
      <c r="A187" t="s" s="3">
        <v>182</v>
      </c>
      <c r="B187" t="n" s="4">
        <f>150.00</f>
        <v>0.0</v>
      </c>
    </row>
    <row r="188">
      <c r="A188" t="s" s="3">
        <v>183</v>
      </c>
      <c r="B188" t="n" s="4">
        <f>145.00</f>
        <v>0.0</v>
      </c>
    </row>
    <row r="189">
      <c r="A189" t="s" s="3">
        <v>184</v>
      </c>
      <c r="B189" t="n" s="4">
        <f>22.00</f>
        <v>0.0</v>
      </c>
    </row>
    <row r="190">
      <c r="A190" t="s" s="3">
        <v>185</v>
      </c>
      <c r="B190" t="n" s="4">
        <f>114.00</f>
        <v>0.0</v>
      </c>
    </row>
    <row r="191">
      <c r="A191" t="s" s="3">
        <v>186</v>
      </c>
      <c r="B191" t="n" s="4">
        <f>750.00</f>
        <v>0.0</v>
      </c>
    </row>
    <row r="192">
      <c r="A192" t="s" s="3">
        <v>187</v>
      </c>
      <c r="B192" t="n" s="4">
        <f>80.00</f>
        <v>0.0</v>
      </c>
    </row>
    <row r="193">
      <c r="A193" t="s" s="3">
        <v>188</v>
      </c>
      <c r="B193" t="n" s="4">
        <f>25.00</f>
        <v>0.0</v>
      </c>
    </row>
    <row r="194">
      <c r="A194" t="s" s="3">
        <v>189</v>
      </c>
      <c r="B194" t="n" s="4">
        <f>260.00</f>
        <v>0.0</v>
      </c>
    </row>
    <row r="195">
      <c r="A195" t="s" s="3">
        <v>190</v>
      </c>
      <c r="B195" t="n" s="4">
        <f>0.00</f>
        <v>0.0</v>
      </c>
    </row>
    <row r="196">
      <c r="A196" t="s" s="3">
        <v>191</v>
      </c>
      <c r="B196" t="n" s="4">
        <f>1832.00</f>
        <v>0.0</v>
      </c>
    </row>
    <row r="197">
      <c r="A197" t="s" s="3">
        <v>192</v>
      </c>
      <c r="B197" t="n" s="4">
        <f>300.00</f>
        <v>0.0</v>
      </c>
    </row>
    <row r="198">
      <c r="A198" t="s" s="3">
        <v>193</v>
      </c>
      <c r="B198" t="n" s="4">
        <f>749.00</f>
        <v>0.0</v>
      </c>
    </row>
    <row r="199">
      <c r="A199" t="s" s="3">
        <v>194</v>
      </c>
      <c r="B199" t="n" s="4">
        <f>1300.00</f>
        <v>0.0</v>
      </c>
    </row>
    <row r="200">
      <c r="A200" t="s" s="3">
        <v>195</v>
      </c>
      <c r="B200" t="n" s="4">
        <f>3670.00</f>
        <v>0.0</v>
      </c>
    </row>
    <row r="201">
      <c r="A201" t="s" s="3">
        <v>196</v>
      </c>
      <c r="B201" t="n" s="4">
        <f>278.00</f>
        <v>0.0</v>
      </c>
    </row>
    <row r="202">
      <c r="A202" t="s" s="3">
        <v>197</v>
      </c>
      <c r="B202" s="6"/>
    </row>
    <row r="203">
      <c r="A203" t="s" s="3">
        <v>198</v>
      </c>
      <c r="B203" t="n" s="4">
        <f>1630.00</f>
        <v>0.0</v>
      </c>
    </row>
    <row r="204">
      <c r="A204" t="s" s="3">
        <v>199</v>
      </c>
      <c r="B204" t="n" s="5">
        <f>(B202)+(B203)</f>
        <v>0.0</v>
      </c>
    </row>
    <row r="205">
      <c r="A205" t="s" s="3">
        <v>200</v>
      </c>
      <c r="B205" t="n" s="4">
        <f>60.00</f>
        <v>0.0</v>
      </c>
    </row>
    <row r="206">
      <c r="A206" t="s" s="3">
        <v>201</v>
      </c>
      <c r="B206" t="n" s="4">
        <f>180.00</f>
        <v>0.0</v>
      </c>
    </row>
    <row r="207">
      <c r="A207" t="s" s="3">
        <v>202</v>
      </c>
      <c r="B207" t="n" s="4">
        <f>0.00</f>
        <v>0.0</v>
      </c>
    </row>
    <row r="208">
      <c r="A208" t="s" s="3">
        <v>203</v>
      </c>
      <c r="B208" s="6"/>
    </row>
    <row r="209">
      <c r="A209" t="s" s="3">
        <v>204</v>
      </c>
      <c r="B209" t="n" s="4">
        <f>978.00</f>
        <v>0.0</v>
      </c>
    </row>
    <row r="210">
      <c r="A210" t="s" s="3">
        <v>205</v>
      </c>
      <c r="B210" s="6"/>
    </row>
    <row r="211">
      <c r="A211" t="s" s="3">
        <v>206</v>
      </c>
      <c r="B211" t="n" s="4">
        <f>582.00</f>
        <v>0.0</v>
      </c>
    </row>
    <row r="212">
      <c r="A212" t="s" s="3">
        <v>207</v>
      </c>
      <c r="B212" t="n" s="5">
        <f>(B210)+(B211)</f>
        <v>0.0</v>
      </c>
    </row>
    <row r="213">
      <c r="A213" t="s" s="3">
        <v>208</v>
      </c>
      <c r="B213" s="6"/>
    </row>
    <row r="214">
      <c r="A214" t="s" s="3">
        <v>209</v>
      </c>
      <c r="B214" t="n" s="4">
        <f>0.00</f>
        <v>0.0</v>
      </c>
    </row>
    <row r="215">
      <c r="A215" t="s" s="3">
        <v>210</v>
      </c>
      <c r="B215" t="n" s="5">
        <f>(B213)+(B214)</f>
        <v>0.0</v>
      </c>
    </row>
    <row r="216">
      <c r="A216" t="s" s="3">
        <v>211</v>
      </c>
      <c r="B216" t="n" s="5">
        <f>(((B208)+(B209))+(B212))+(B215)</f>
        <v>0.0</v>
      </c>
    </row>
    <row r="217">
      <c r="A217" t="s" s="3">
        <v>212</v>
      </c>
      <c r="B217" s="6"/>
    </row>
    <row r="218">
      <c r="A218" t="s" s="3">
        <v>213</v>
      </c>
      <c r="B218" t="n" s="4">
        <f>447.00</f>
        <v>0.0</v>
      </c>
    </row>
    <row r="219">
      <c r="A219" t="s" s="3">
        <v>214</v>
      </c>
      <c r="B219" t="n" s="5">
        <f>(B217)+(B218)</f>
        <v>0.0</v>
      </c>
    </row>
    <row r="220">
      <c r="A220" t="s" s="3">
        <v>215</v>
      </c>
      <c r="B220" t="n" s="4">
        <f>0.00</f>
        <v>0.0</v>
      </c>
    </row>
    <row r="221">
      <c r="A221" t="s" s="3">
        <v>216</v>
      </c>
      <c r="B221" t="n" s="4">
        <f>410.00</f>
        <v>0.0</v>
      </c>
    </row>
    <row r="222">
      <c r="A222" t="s" s="3">
        <v>217</v>
      </c>
      <c r="B222" t="n" s="4">
        <f>310.00</f>
        <v>0.0</v>
      </c>
    </row>
    <row r="223">
      <c r="A223" t="s" s="3">
        <v>218</v>
      </c>
      <c r="B223" t="n" s="4">
        <f>180.00</f>
        <v>0.0</v>
      </c>
    </row>
    <row r="224">
      <c r="A224" t="s" s="3">
        <v>219</v>
      </c>
      <c r="B224" t="n" s="4">
        <f>100.00</f>
        <v>0.0</v>
      </c>
    </row>
    <row r="225">
      <c r="A225" t="s" s="3">
        <v>220</v>
      </c>
      <c r="B225" t="n" s="4">
        <f>135.00</f>
        <v>0.0</v>
      </c>
    </row>
    <row r="226">
      <c r="A226" t="s" s="3">
        <v>221</v>
      </c>
      <c r="B226" t="n" s="4">
        <f>95.00</f>
        <v>0.0</v>
      </c>
    </row>
    <row r="227">
      <c r="A227" t="s" s="3">
        <v>222</v>
      </c>
      <c r="B227" t="n" s="4">
        <f>251.00</f>
        <v>0.0</v>
      </c>
    </row>
    <row r="228">
      <c r="A228" t="s" s="3">
        <v>223</v>
      </c>
      <c r="B228" t="n" s="4">
        <f>502.00</f>
        <v>0.0</v>
      </c>
    </row>
    <row r="229">
      <c r="A229" t="s" s="3">
        <v>224</v>
      </c>
      <c r="B229" t="n" s="4">
        <f>450.00</f>
        <v>0.0</v>
      </c>
    </row>
    <row r="230">
      <c r="A230" t="s" s="3">
        <v>225</v>
      </c>
      <c r="B230" t="n" s="4">
        <f>354.85</f>
        <v>0.0</v>
      </c>
    </row>
    <row r="231">
      <c r="A231" t="s" s="3">
        <v>226</v>
      </c>
      <c r="B231" t="n" s="4">
        <f>30.00</f>
        <v>0.0</v>
      </c>
    </row>
    <row r="232">
      <c r="A232" t="s" s="3">
        <v>227</v>
      </c>
      <c r="B232" t="n" s="4">
        <f>30.00</f>
        <v>0.0</v>
      </c>
    </row>
    <row r="233">
      <c r="A233" t="s" s="3">
        <v>228</v>
      </c>
      <c r="B233" t="n" s="4">
        <f>60.00</f>
        <v>0.0</v>
      </c>
    </row>
    <row r="234">
      <c r="A234" t="s" s="3">
        <v>229</v>
      </c>
      <c r="B234" s="6"/>
    </row>
    <row r="235">
      <c r="A235" t="s" s="3">
        <v>230</v>
      </c>
      <c r="B235" t="n" s="4">
        <f>868.00</f>
        <v>0.0</v>
      </c>
    </row>
    <row r="236">
      <c r="A236" t="s" s="3">
        <v>231</v>
      </c>
      <c r="B236" t="n" s="5">
        <f>(B234)+(B235)</f>
        <v>0.0</v>
      </c>
    </row>
    <row r="237">
      <c r="A237" t="s" s="3">
        <v>232</v>
      </c>
      <c r="B237" t="n" s="4">
        <f>200.00</f>
        <v>0.0</v>
      </c>
    </row>
    <row r="238">
      <c r="A238" t="s" s="3">
        <v>233</v>
      </c>
      <c r="B238" t="n" s="4">
        <f>0.00</f>
        <v>0.0</v>
      </c>
    </row>
    <row r="239">
      <c r="A239" t="s" s="3">
        <v>234</v>
      </c>
      <c r="B239" t="n" s="4">
        <f>151.05</f>
        <v>0.0</v>
      </c>
    </row>
    <row r="240">
      <c r="A240" t="s" s="3">
        <v>235</v>
      </c>
      <c r="B240" t="n" s="4">
        <f>155.00</f>
        <v>0.0</v>
      </c>
    </row>
    <row r="241">
      <c r="A241" t="s" s="3">
        <v>236</v>
      </c>
      <c r="B241" t="n" s="4">
        <f>10.00</f>
        <v>0.0</v>
      </c>
    </row>
    <row r="242">
      <c r="A242" t="s" s="3">
        <v>237</v>
      </c>
      <c r="B242" t="n" s="4">
        <f>155.25</f>
        <v>0.0</v>
      </c>
    </row>
    <row r="243">
      <c r="A243" t="s" s="3">
        <v>238</v>
      </c>
      <c r="B243" t="n" s="4">
        <f>300.00</f>
        <v>0.0</v>
      </c>
    </row>
    <row r="244">
      <c r="A244" t="s" s="3">
        <v>239</v>
      </c>
      <c r="B244" t="n" s="4">
        <f>150.00</f>
        <v>0.0</v>
      </c>
    </row>
    <row r="245">
      <c r="A245" t="s" s="3">
        <v>240</v>
      </c>
      <c r="B245" s="6"/>
    </row>
    <row r="246">
      <c r="A246" t="s" s="3">
        <v>241</v>
      </c>
      <c r="B246" t="n" s="4">
        <f>300.00</f>
        <v>0.0</v>
      </c>
    </row>
    <row r="247">
      <c r="A247" t="s" s="3">
        <v>242</v>
      </c>
      <c r="B247" t="n" s="5">
        <f>(B245)+(B246)</f>
        <v>0.0</v>
      </c>
    </row>
    <row r="248">
      <c r="A248" t="s" s="3">
        <v>243</v>
      </c>
      <c r="B248" t="n" s="4">
        <f>1000.00</f>
        <v>0.0</v>
      </c>
    </row>
    <row r="249">
      <c r="A249" t="s" s="3">
        <v>244</v>
      </c>
      <c r="B249" t="n" s="4">
        <f>40.00</f>
        <v>0.0</v>
      </c>
    </row>
    <row r="250">
      <c r="A250" t="s" s="3">
        <v>245</v>
      </c>
      <c r="B250" t="n" s="4">
        <f>210.00</f>
        <v>0.0</v>
      </c>
    </row>
    <row r="251">
      <c r="A251" t="s" s="3">
        <v>246</v>
      </c>
      <c r="B251" t="n" s="4">
        <f>828.00</f>
        <v>0.0</v>
      </c>
    </row>
    <row r="252">
      <c r="A252" t="s" s="3">
        <v>247</v>
      </c>
      <c r="B252" t="n" s="4">
        <f>50.00</f>
        <v>0.0</v>
      </c>
    </row>
    <row r="253">
      <c r="A253" t="s" s="3">
        <v>248</v>
      </c>
      <c r="B253" t="n" s="4">
        <f>132.00</f>
        <v>0.0</v>
      </c>
    </row>
    <row r="254">
      <c r="A254" t="s" s="3">
        <v>249</v>
      </c>
      <c r="B254" t="n" s="4">
        <f>30.00</f>
        <v>0.0</v>
      </c>
    </row>
    <row r="255">
      <c r="A255" t="s" s="3">
        <v>250</v>
      </c>
      <c r="B255" t="n" s="4">
        <f>2110.00</f>
        <v>0.0</v>
      </c>
    </row>
    <row r="256">
      <c r="A256" t="s" s="3">
        <v>251</v>
      </c>
      <c r="B256" t="n" s="4">
        <f>300.00</f>
        <v>0.0</v>
      </c>
    </row>
    <row r="257">
      <c r="A257" t="s" s="3">
        <v>252</v>
      </c>
      <c r="B257" t="n" s="4">
        <f>170.00</f>
        <v>0.0</v>
      </c>
    </row>
    <row r="258">
      <c r="A258" t="s" s="3">
        <v>253</v>
      </c>
      <c r="B258" t="n" s="4">
        <f>180.00</f>
        <v>0.0</v>
      </c>
    </row>
    <row r="259">
      <c r="A259" t="s" s="3">
        <v>254</v>
      </c>
      <c r="B259" t="n" s="4">
        <f>0.00</f>
        <v>0.0</v>
      </c>
    </row>
    <row r="260">
      <c r="A260" t="s" s="3">
        <v>255</v>
      </c>
      <c r="B260" t="n" s="4">
        <f>4265.00</f>
        <v>0.0</v>
      </c>
    </row>
    <row r="261">
      <c r="A261" t="s" s="3">
        <v>256</v>
      </c>
      <c r="B261" t="n" s="4">
        <f>370.00</f>
        <v>0.0</v>
      </c>
    </row>
    <row r="262">
      <c r="A262" t="s" s="3">
        <v>257</v>
      </c>
      <c r="B262" t="n" s="4">
        <f>220.00</f>
        <v>0.0</v>
      </c>
    </row>
    <row r="263">
      <c r="A263" t="s" s="3">
        <v>258</v>
      </c>
      <c r="B263" t="n" s="4">
        <f>1000.00</f>
        <v>0.0</v>
      </c>
    </row>
    <row r="264">
      <c r="A264" t="s" s="3">
        <v>259</v>
      </c>
      <c r="B264" t="n" s="4">
        <f>280.00</f>
        <v>0.0</v>
      </c>
    </row>
    <row r="265">
      <c r="A265" t="s" s="3">
        <v>260</v>
      </c>
      <c r="B265" t="n" s="4">
        <f>213.00</f>
        <v>0.0</v>
      </c>
    </row>
    <row r="266">
      <c r="A266" t="s" s="3">
        <v>261</v>
      </c>
      <c r="B266" t="n" s="4">
        <f>305.00</f>
        <v>0.0</v>
      </c>
    </row>
    <row r="267">
      <c r="A267" t="s" s="3">
        <v>262</v>
      </c>
      <c r="B267" t="n" s="4">
        <f>200.00</f>
        <v>0.0</v>
      </c>
    </row>
    <row r="268">
      <c r="A268" t="s" s="3">
        <v>263</v>
      </c>
      <c r="B268" t="n" s="4">
        <f>60.00</f>
        <v>0.0</v>
      </c>
    </row>
    <row r="269">
      <c r="A269" t="s" s="3">
        <v>264</v>
      </c>
      <c r="B269" t="n" s="4">
        <f>300.00</f>
        <v>0.0</v>
      </c>
    </row>
    <row r="270">
      <c r="A270" t="s" s="3">
        <v>265</v>
      </c>
      <c r="B270" t="n" s="4">
        <f>30.00</f>
        <v>0.0</v>
      </c>
    </row>
    <row r="271">
      <c r="A271" t="s" s="3">
        <v>266</v>
      </c>
      <c r="B271" t="n" s="4">
        <f>2020.00</f>
        <v>0.0</v>
      </c>
    </row>
    <row r="272">
      <c r="A272" t="s" s="3">
        <v>267</v>
      </c>
      <c r="B272" t="n" s="4">
        <f>85.00</f>
        <v>0.0</v>
      </c>
    </row>
    <row r="273">
      <c r="A273" t="s" s="3">
        <v>268</v>
      </c>
      <c r="B273" t="n" s="4">
        <f>130.00</f>
        <v>0.0</v>
      </c>
    </row>
    <row r="274">
      <c r="A274" t="s" s="3">
        <v>269</v>
      </c>
      <c r="B274" t="n" s="4">
        <f>55.00</f>
        <v>0.0</v>
      </c>
    </row>
    <row r="275">
      <c r="A275" t="s" s="3">
        <v>270</v>
      </c>
      <c r="B275" t="n" s="4">
        <f>130.00</f>
        <v>0.0</v>
      </c>
    </row>
    <row r="276">
      <c r="A276" t="s" s="3">
        <v>271</v>
      </c>
      <c r="B276" t="n" s="4">
        <f>145.00</f>
        <v>0.0</v>
      </c>
    </row>
    <row r="277">
      <c r="A277" t="s" s="3">
        <v>272</v>
      </c>
      <c r="B277" t="n" s="4">
        <f>1598.00</f>
        <v>0.0</v>
      </c>
    </row>
    <row r="278">
      <c r="A278" t="s" s="3">
        <v>273</v>
      </c>
      <c r="B278" t="n" s="4">
        <f>940.00</f>
        <v>0.0</v>
      </c>
    </row>
    <row r="279">
      <c r="A279" t="s" s="3">
        <v>274</v>
      </c>
      <c r="B279" t="n" s="4">
        <f>300.00</f>
        <v>0.0</v>
      </c>
    </row>
    <row r="280">
      <c r="A280" t="s" s="3">
        <v>275</v>
      </c>
      <c r="B280" t="n" s="4">
        <f>170.00</f>
        <v>0.0</v>
      </c>
    </row>
    <row r="281">
      <c r="A281" t="s" s="3">
        <v>276</v>
      </c>
      <c r="B281" t="n" s="4">
        <f>938.00</f>
        <v>0.0</v>
      </c>
    </row>
    <row r="282">
      <c r="A282" t="s" s="3">
        <v>277</v>
      </c>
      <c r="B282" t="n" s="4">
        <f>3232.68</f>
        <v>0.0</v>
      </c>
    </row>
    <row r="283">
      <c r="A283" t="s" s="3">
        <v>278</v>
      </c>
      <c r="B283" t="n" s="4">
        <f>107.48</f>
        <v>0.0</v>
      </c>
    </row>
    <row r="284">
      <c r="A284" t="s" s="3">
        <v>279</v>
      </c>
      <c r="B284" t="n" s="5">
        <f>(B282)+(B283)</f>
        <v>0.0</v>
      </c>
    </row>
    <row r="285">
      <c r="A285" t="s" s="3">
        <v>280</v>
      </c>
      <c r="B285" t="n" s="4">
        <f>1368.00</f>
        <v>0.0</v>
      </c>
    </row>
    <row r="286">
      <c r="A286" t="s" s="3">
        <v>281</v>
      </c>
      <c r="B286" t="n" s="4">
        <f>150.00</f>
        <v>0.0</v>
      </c>
    </row>
    <row r="287">
      <c r="A287" t="s" s="3">
        <v>282</v>
      </c>
      <c r="B287" s="6"/>
    </row>
    <row r="288">
      <c r="A288" t="s" s="3">
        <v>283</v>
      </c>
      <c r="B288" t="n" s="4">
        <f>1274.81</f>
        <v>0.0</v>
      </c>
    </row>
    <row r="289">
      <c r="A289" t="s" s="3">
        <v>284</v>
      </c>
      <c r="B289" t="n" s="5">
        <f>(B287)+(B288)</f>
        <v>0.0</v>
      </c>
    </row>
    <row r="290">
      <c r="A290" t="s" s="3">
        <v>285</v>
      </c>
      <c r="B290" t="n" s="4">
        <f>858.00</f>
        <v>0.0</v>
      </c>
    </row>
    <row r="291">
      <c r="A291" t="s" s="3">
        <v>286</v>
      </c>
      <c r="B291" t="n" s="4">
        <f>233.00</f>
        <v>0.0</v>
      </c>
    </row>
    <row r="292">
      <c r="A292" t="s" s="3">
        <v>287</v>
      </c>
      <c r="B292" t="n" s="4">
        <f>135.00</f>
        <v>0.0</v>
      </c>
    </row>
    <row r="293">
      <c r="A293" t="s" s="3">
        <v>288</v>
      </c>
      <c r="B293" t="n" s="4">
        <f>220.00</f>
        <v>0.0</v>
      </c>
    </row>
    <row r="294">
      <c r="A294" t="s" s="3">
        <v>289</v>
      </c>
      <c r="B294" t="n" s="4">
        <f>150.00</f>
        <v>0.0</v>
      </c>
    </row>
    <row r="295">
      <c r="A295" t="s" s="3">
        <v>290</v>
      </c>
      <c r="B295" t="n" s="4">
        <f>183.00</f>
        <v>0.0</v>
      </c>
    </row>
    <row r="296">
      <c r="A296" t="s" s="3">
        <v>291</v>
      </c>
      <c r="B296" t="n" s="4">
        <f>1010.00</f>
        <v>0.0</v>
      </c>
    </row>
    <row r="297">
      <c r="A297" t="s" s="3">
        <v>292</v>
      </c>
      <c r="B297" t="n" s="4">
        <f>150.00</f>
        <v>0.0</v>
      </c>
    </row>
    <row r="298">
      <c r="A298" t="s" s="3">
        <v>293</v>
      </c>
      <c r="B298" t="n" s="4">
        <f>260.00</f>
        <v>0.0</v>
      </c>
    </row>
    <row r="299">
      <c r="A299" t="s" s="3">
        <v>294</v>
      </c>
      <c r="B299" t="n" s="4">
        <f>150.00</f>
        <v>0.0</v>
      </c>
    </row>
    <row r="300">
      <c r="A300" t="s" s="3">
        <v>295</v>
      </c>
      <c r="B300" t="n" s="4">
        <f>260.00</f>
        <v>0.0</v>
      </c>
    </row>
    <row r="301">
      <c r="A301" t="s" s="3">
        <v>296</v>
      </c>
      <c r="B301" t="n" s="4">
        <f>3450.00</f>
        <v>0.0</v>
      </c>
    </row>
    <row r="302">
      <c r="A302" t="s" s="3">
        <v>297</v>
      </c>
      <c r="B302" t="n" s="4">
        <f>155.25</f>
        <v>0.0</v>
      </c>
    </row>
    <row r="303">
      <c r="A303" t="s" s="3">
        <v>298</v>
      </c>
      <c r="B303" t="n" s="4">
        <f>1515.00</f>
        <v>0.0</v>
      </c>
    </row>
    <row r="304">
      <c r="A304" t="s" s="3">
        <v>299</v>
      </c>
      <c r="B304" t="n" s="4">
        <f>-1347.00</f>
        <v>0.0</v>
      </c>
    </row>
    <row r="305">
      <c r="A305" t="s" s="3">
        <v>300</v>
      </c>
      <c r="B305" t="n" s="4">
        <f>4040.00</f>
        <v>0.0</v>
      </c>
    </row>
    <row r="306">
      <c r="A306" t="s" s="3">
        <v>301</v>
      </c>
      <c r="B306" t="n" s="4">
        <f>1515.00</f>
        <v>0.0</v>
      </c>
    </row>
    <row r="307">
      <c r="A307" t="s" s="3">
        <v>302</v>
      </c>
      <c r="B307" t="n" s="4">
        <f>260.00</f>
        <v>0.0</v>
      </c>
    </row>
    <row r="308">
      <c r="A308" t="s" s="3">
        <v>303</v>
      </c>
      <c r="B308" t="n" s="4">
        <f>540.00</f>
        <v>0.0</v>
      </c>
    </row>
    <row r="309">
      <c r="A309" t="s" s="3">
        <v>304</v>
      </c>
      <c r="B309" t="n" s="4">
        <f>208.00</f>
        <v>0.0</v>
      </c>
    </row>
    <row r="310">
      <c r="A310" t="s" s="3">
        <v>305</v>
      </c>
      <c r="B310" t="n" s="4">
        <f>15.00</f>
        <v>0.0</v>
      </c>
    </row>
    <row r="311">
      <c r="A311" t="s" s="3">
        <v>306</v>
      </c>
      <c r="B311" t="n" s="4">
        <f>1010.00</f>
        <v>0.0</v>
      </c>
    </row>
    <row r="312">
      <c r="A312" t="s" s="3">
        <v>307</v>
      </c>
      <c r="B312" t="n" s="4">
        <f>155.25</f>
        <v>0.0</v>
      </c>
    </row>
    <row r="313">
      <c r="A313" t="s" s="3">
        <v>308</v>
      </c>
      <c r="B313" t="n" s="4">
        <f>110.00</f>
        <v>0.0</v>
      </c>
    </row>
    <row r="314">
      <c r="A314" t="s" s="3">
        <v>309</v>
      </c>
      <c r="B314" t="n" s="4">
        <f>179.00</f>
        <v>0.0</v>
      </c>
    </row>
    <row r="315">
      <c r="A315" t="s" s="3">
        <v>310</v>
      </c>
      <c r="B315" t="n" s="4">
        <f>250.00</f>
        <v>0.0</v>
      </c>
    </row>
    <row r="316">
      <c r="A316" t="s" s="3">
        <v>311</v>
      </c>
      <c r="B316" t="n" s="4">
        <f>278.00</f>
        <v>0.0</v>
      </c>
    </row>
    <row r="317">
      <c r="A317" t="s" s="3">
        <v>312</v>
      </c>
      <c r="B317" t="n" s="4">
        <f>100.00</f>
        <v>0.0</v>
      </c>
    </row>
    <row r="318">
      <c r="A318" t="s" s="3">
        <v>313</v>
      </c>
      <c r="B318" t="n" s="4">
        <f>150.00</f>
        <v>0.0</v>
      </c>
    </row>
    <row r="319">
      <c r="A319" t="s" s="3">
        <v>314</v>
      </c>
      <c r="B319" t="n" s="4">
        <f>900.00</f>
        <v>0.0</v>
      </c>
    </row>
    <row r="320">
      <c r="A320" t="s" s="3">
        <v>315</v>
      </c>
      <c r="B320" t="n" s="4">
        <f>470.00</f>
        <v>0.0</v>
      </c>
    </row>
    <row r="321">
      <c r="A321" t="s" s="3">
        <v>316</v>
      </c>
      <c r="B321" t="n" s="4">
        <f>2320.00</f>
        <v>0.0</v>
      </c>
    </row>
    <row r="322">
      <c r="A322" t="s" s="3">
        <v>317</v>
      </c>
      <c r="B322" t="n" s="4">
        <f>100.00</f>
        <v>0.0</v>
      </c>
    </row>
    <row r="323">
      <c r="A323" t="s" s="3">
        <v>318</v>
      </c>
      <c r="B323" t="n" s="4">
        <f>6.54</f>
        <v>0.0</v>
      </c>
    </row>
    <row r="324">
      <c r="A324" t="s" s="3">
        <v>319</v>
      </c>
      <c r="B324" t="n" s="4">
        <f>150.00</f>
        <v>0.0</v>
      </c>
    </row>
    <row r="325">
      <c r="A325" t="s" s="3">
        <v>320</v>
      </c>
      <c r="B325" t="n" s="4">
        <f>170.00</f>
        <v>0.0</v>
      </c>
    </row>
    <row r="326">
      <c r="A326" t="s" s="3">
        <v>321</v>
      </c>
      <c r="B326" t="n" s="4">
        <f>50.00</f>
        <v>0.0</v>
      </c>
    </row>
    <row r="327">
      <c r="A327" t="s" s="3">
        <v>322</v>
      </c>
      <c r="B327" t="n" s="4">
        <f>200.00</f>
        <v>0.0</v>
      </c>
    </row>
    <row r="328">
      <c r="A328" t="s" s="3">
        <v>323</v>
      </c>
      <c r="B328" t="n" s="4">
        <f>315.00</f>
        <v>0.0</v>
      </c>
    </row>
    <row r="329">
      <c r="A329" t="s" s="3">
        <v>324</v>
      </c>
      <c r="B329" t="n" s="4">
        <f>70.00</f>
        <v>0.0</v>
      </c>
    </row>
    <row r="330">
      <c r="A330" t="s" s="3">
        <v>325</v>
      </c>
      <c r="B330" t="n" s="4">
        <f>150.00</f>
        <v>0.0</v>
      </c>
    </row>
    <row r="331">
      <c r="A331" t="s" s="3">
        <v>326</v>
      </c>
      <c r="B331" t="n" s="4">
        <f>50.00</f>
        <v>0.0</v>
      </c>
    </row>
    <row r="332">
      <c r="A332" t="s" s="3">
        <v>327</v>
      </c>
      <c r="B332" s="6"/>
    </row>
    <row r="333">
      <c r="A333" t="s" s="3">
        <v>328</v>
      </c>
      <c r="B333" t="n" s="4">
        <f>240.00</f>
        <v>0.0</v>
      </c>
    </row>
    <row r="334">
      <c r="A334" t="s" s="3">
        <v>329</v>
      </c>
      <c r="B334" t="n" s="4">
        <f>290.00</f>
        <v>0.0</v>
      </c>
    </row>
    <row r="335">
      <c r="A335" t="s" s="3">
        <v>330</v>
      </c>
      <c r="B335" t="n" s="4">
        <f>495.00</f>
        <v>0.0</v>
      </c>
    </row>
    <row r="336">
      <c r="A336" t="s" s="3">
        <v>331</v>
      </c>
      <c r="B336" t="n" s="5">
        <f>(((B332)+(B333))+(B334))+(B335)</f>
        <v>0.0</v>
      </c>
    </row>
    <row r="337">
      <c r="A337" t="s" s="3">
        <v>332</v>
      </c>
      <c r="B337" t="n" s="4">
        <f>2445.00</f>
        <v>0.0</v>
      </c>
    </row>
    <row r="338">
      <c r="A338" t="s" s="3">
        <v>333</v>
      </c>
      <c r="B338" t="n" s="4">
        <f>0.00</f>
        <v>0.0</v>
      </c>
    </row>
    <row r="339">
      <c r="A339" t="s" s="3">
        <v>334</v>
      </c>
      <c r="B339" t="n" s="4">
        <f>200.00</f>
        <v>0.0</v>
      </c>
    </row>
    <row r="340">
      <c r="A340" t="s" s="3">
        <v>335</v>
      </c>
      <c r="B340" t="n" s="4">
        <f>40.00</f>
        <v>0.0</v>
      </c>
    </row>
    <row r="341">
      <c r="A341" t="s" s="3">
        <v>336</v>
      </c>
      <c r="B341" t="n" s="4">
        <f>313.00</f>
        <v>0.0</v>
      </c>
    </row>
    <row r="342">
      <c r="A342" t="s" s="3">
        <v>337</v>
      </c>
      <c r="B342" t="n" s="4">
        <f>40.00</f>
        <v>0.0</v>
      </c>
    </row>
    <row r="343">
      <c r="A343" t="s" s="3">
        <v>338</v>
      </c>
      <c r="B343" t="n" s="4">
        <f>1730.00</f>
        <v>0.0</v>
      </c>
    </row>
    <row r="344">
      <c r="A344" t="s" s="3">
        <v>339</v>
      </c>
      <c r="B344" t="n" s="4">
        <f>367.43</f>
        <v>0.0</v>
      </c>
    </row>
    <row r="345">
      <c r="A345" t="s" s="3">
        <v>340</v>
      </c>
      <c r="B345" t="n" s="4">
        <f>300.00</f>
        <v>0.0</v>
      </c>
    </row>
    <row r="346">
      <c r="A346" t="s" s="3">
        <v>341</v>
      </c>
      <c r="B346" t="n" s="4">
        <f>315.00</f>
        <v>0.0</v>
      </c>
    </row>
    <row r="347">
      <c r="A347" t="s" s="3">
        <v>342</v>
      </c>
      <c r="B347" t="n" s="4">
        <f>50.00</f>
        <v>0.0</v>
      </c>
    </row>
    <row r="348">
      <c r="A348" t="s" s="3">
        <v>343</v>
      </c>
      <c r="B348" t="n" s="4">
        <f>75.00</f>
        <v>0.0</v>
      </c>
    </row>
    <row r="349">
      <c r="A349" t="s" s="3">
        <v>344</v>
      </c>
      <c r="B349" t="n" s="4">
        <f>70.00</f>
        <v>0.0</v>
      </c>
    </row>
    <row r="350">
      <c r="A350" t="s" s="3">
        <v>345</v>
      </c>
      <c r="B350" s="6"/>
    </row>
    <row r="351">
      <c r="A351" t="s" s="3">
        <v>346</v>
      </c>
      <c r="B351" t="n" s="4">
        <f>884.70</f>
        <v>0.0</v>
      </c>
    </row>
    <row r="352">
      <c r="A352" t="s" s="3">
        <v>347</v>
      </c>
      <c r="B352" t="n" s="5">
        <f>(B350)+(B351)</f>
        <v>0.0</v>
      </c>
    </row>
    <row r="353">
      <c r="A353" t="s" s="3">
        <v>348</v>
      </c>
      <c r="B353" t="n" s="4">
        <f>70.00</f>
        <v>0.0</v>
      </c>
    </row>
    <row r="354">
      <c r="A354" t="s" s="3">
        <v>349</v>
      </c>
      <c r="B354" t="n" s="4">
        <f>260.04</f>
        <v>0.0</v>
      </c>
    </row>
    <row r="355">
      <c r="A355" t="s" s="3">
        <v>350</v>
      </c>
      <c r="B355" t="n" s="4">
        <f>260.00</f>
        <v>0.0</v>
      </c>
    </row>
    <row r="356">
      <c r="A356" t="s" s="3">
        <v>351</v>
      </c>
      <c r="B356" t="n" s="4">
        <f>30.00</f>
        <v>0.0</v>
      </c>
    </row>
    <row r="357">
      <c r="A357" t="s" s="3">
        <v>352</v>
      </c>
      <c r="B357" t="n" s="4">
        <f>80.04</f>
        <v>0.0</v>
      </c>
    </row>
    <row r="358">
      <c r="A358" t="s" s="3">
        <v>353</v>
      </c>
      <c r="B358" t="n" s="4">
        <f>150.00</f>
        <v>0.0</v>
      </c>
    </row>
    <row r="359">
      <c r="A359" t="s" s="3">
        <v>354</v>
      </c>
      <c r="B359" t="n" s="4">
        <f>400.00</f>
        <v>0.0</v>
      </c>
    </row>
    <row r="360">
      <c r="A360" t="s" s="3">
        <v>355</v>
      </c>
      <c r="B360" t="n" s="4">
        <f>355.00</f>
        <v>0.0</v>
      </c>
    </row>
    <row r="361">
      <c r="A361" t="s" s="3">
        <v>356</v>
      </c>
      <c r="B361" t="n" s="4">
        <f>150.00</f>
        <v>0.0</v>
      </c>
    </row>
    <row r="362">
      <c r="A362" t="s" s="3">
        <v>357</v>
      </c>
      <c r="B362" t="n" s="4">
        <f>260.00</f>
        <v>0.0</v>
      </c>
    </row>
    <row r="363">
      <c r="A363" t="s" s="3">
        <v>358</v>
      </c>
      <c r="B363" t="n" s="4">
        <f>260.00</f>
        <v>0.0</v>
      </c>
    </row>
    <row r="364">
      <c r="A364" t="s" s="3">
        <v>359</v>
      </c>
      <c r="B364" t="n" s="4">
        <f>150.04</f>
        <v>0.0</v>
      </c>
    </row>
    <row r="365">
      <c r="A365" t="s" s="3">
        <v>360</v>
      </c>
      <c r="B365" t="n" s="4">
        <f>344.70</f>
        <v>0.0</v>
      </c>
    </row>
    <row r="366">
      <c r="A366" t="s" s="3">
        <v>361</v>
      </c>
      <c r="B366" t="n" s="4">
        <f>288.00</f>
        <v>0.0</v>
      </c>
    </row>
    <row r="367">
      <c r="A367" t="s" s="3">
        <v>362</v>
      </c>
      <c r="B367" t="n" s="4">
        <f>276.00</f>
        <v>0.0</v>
      </c>
    </row>
    <row r="368">
      <c r="A368" t="s" s="3">
        <v>363</v>
      </c>
      <c r="B368" t="n" s="4">
        <f>61.00</f>
        <v>0.0</v>
      </c>
    </row>
    <row r="369">
      <c r="A369" t="s" s="3">
        <v>364</v>
      </c>
      <c r="B369" t="n" s="4">
        <f>1030.00</f>
        <v>0.0</v>
      </c>
    </row>
    <row r="370">
      <c r="A370" t="s" s="3">
        <v>365</v>
      </c>
      <c r="B370" t="n" s="4">
        <f>270.00</f>
        <v>0.0</v>
      </c>
    </row>
    <row r="371">
      <c r="A371" t="s" s="3">
        <v>366</v>
      </c>
      <c r="B371" t="n" s="4">
        <f>220.00</f>
        <v>0.0</v>
      </c>
    </row>
    <row r="372">
      <c r="A372" t="s" s="3">
        <v>367</v>
      </c>
      <c r="B372" t="n" s="4">
        <f>360.00</f>
        <v>0.0</v>
      </c>
    </row>
    <row r="373">
      <c r="A373" t="s" s="3">
        <v>368</v>
      </c>
      <c r="B373" t="n" s="4">
        <f>150.00</f>
        <v>0.0</v>
      </c>
    </row>
    <row r="374">
      <c r="A374" t="s" s="3">
        <v>369</v>
      </c>
      <c r="B374" t="n" s="4">
        <f>70.00</f>
        <v>0.0</v>
      </c>
    </row>
    <row r="375">
      <c r="A375" t="s" s="3">
        <v>370</v>
      </c>
      <c r="B375" t="n" s="4">
        <f>220.00</f>
        <v>0.0</v>
      </c>
    </row>
    <row r="376">
      <c r="A376" t="s" s="3">
        <v>371</v>
      </c>
      <c r="B376" t="n" s="4">
        <f>220.00</f>
        <v>0.0</v>
      </c>
    </row>
    <row r="377">
      <c r="A377" t="s" s="3">
        <v>372</v>
      </c>
      <c r="B377" t="n" s="4">
        <f>1207.02</f>
        <v>0.0</v>
      </c>
    </row>
    <row r="378">
      <c r="A378" t="s" s="3">
        <v>373</v>
      </c>
      <c r="B378" t="n" s="4">
        <f>200.00</f>
        <v>0.0</v>
      </c>
    </row>
    <row r="379">
      <c r="A379" t="s" s="3">
        <v>374</v>
      </c>
      <c r="B379" t="n" s="4">
        <f>150.00</f>
        <v>0.0</v>
      </c>
    </row>
    <row r="380">
      <c r="A380" t="s" s="3">
        <v>375</v>
      </c>
      <c r="B380" t="n" s="4">
        <f>500.00</f>
        <v>0.0</v>
      </c>
    </row>
    <row r="381">
      <c r="A381" t="s" s="3">
        <v>376</v>
      </c>
      <c r="B381" t="n" s="4">
        <f>150.00</f>
        <v>0.0</v>
      </c>
    </row>
    <row r="382">
      <c r="A382" t="s" s="3">
        <v>377</v>
      </c>
      <c r="B382" t="n" s="4">
        <f>220.00</f>
        <v>0.0</v>
      </c>
    </row>
    <row r="383">
      <c r="A383" t="s" s="3">
        <v>378</v>
      </c>
      <c r="B383" t="n" s="4">
        <f>30.00</f>
        <v>0.0</v>
      </c>
    </row>
    <row r="384">
      <c r="A384" t="s" s="3">
        <v>379</v>
      </c>
      <c r="B384" t="n" s="4">
        <f>940.00</f>
        <v>0.0</v>
      </c>
    </row>
    <row r="385">
      <c r="A385" t="s" s="3">
        <v>380</v>
      </c>
      <c r="B385" t="n" s="4">
        <f>104.00</f>
        <v>0.0</v>
      </c>
    </row>
    <row r="386">
      <c r="A386" t="s" s="3">
        <v>381</v>
      </c>
      <c r="B386" t="n" s="4">
        <f>1314.00</f>
        <v>0.0</v>
      </c>
    </row>
    <row r="387">
      <c r="A387" t="s" s="3">
        <v>382</v>
      </c>
      <c r="B387" t="n" s="4">
        <f>280.00</f>
        <v>0.0</v>
      </c>
    </row>
    <row r="388">
      <c r="A388" t="s" s="3">
        <v>383</v>
      </c>
      <c r="B388" t="n" s="4">
        <f>150.00</f>
        <v>0.0</v>
      </c>
    </row>
    <row r="389">
      <c r="A389" t="s" s="3">
        <v>384</v>
      </c>
      <c r="B389" t="n" s="4">
        <f>20.00</f>
        <v>0.0</v>
      </c>
    </row>
    <row r="390">
      <c r="A390" t="s" s="3">
        <v>385</v>
      </c>
      <c r="B390" t="n" s="4">
        <f>150.00</f>
        <v>0.0</v>
      </c>
    </row>
    <row r="391">
      <c r="A391" t="s" s="3">
        <v>386</v>
      </c>
      <c r="B391" t="n" s="4">
        <f>240.00</f>
        <v>0.0</v>
      </c>
    </row>
    <row r="392">
      <c r="A392" t="s" s="3">
        <v>387</v>
      </c>
      <c r="B392" t="n" s="4">
        <f>150.00</f>
        <v>0.0</v>
      </c>
    </row>
    <row r="393">
      <c r="A393" t="s" s="3">
        <v>388</v>
      </c>
      <c r="B393" t="n" s="4">
        <f>300.00</f>
        <v>0.0</v>
      </c>
    </row>
    <row r="394">
      <c r="A394" t="s" s="3">
        <v>389</v>
      </c>
      <c r="B394" t="n" s="4">
        <f>355.00</f>
        <v>0.0</v>
      </c>
    </row>
    <row r="395">
      <c r="A395" t="s" s="3">
        <v>390</v>
      </c>
      <c r="B395" t="n" s="4">
        <f>50.00</f>
        <v>0.0</v>
      </c>
    </row>
    <row r="396">
      <c r="A396" t="s" s="3">
        <v>391</v>
      </c>
      <c r="B396" t="n" s="4">
        <f>110.00</f>
        <v>0.0</v>
      </c>
    </row>
    <row r="397">
      <c r="A397" t="s" s="3">
        <v>392</v>
      </c>
      <c r="B397" t="n" s="4">
        <f>180.00</f>
        <v>0.0</v>
      </c>
    </row>
    <row r="398">
      <c r="A398" t="s" s="3">
        <v>393</v>
      </c>
      <c r="B398" t="n" s="4">
        <f>6291.00</f>
        <v>0.0</v>
      </c>
    </row>
    <row r="399">
      <c r="A399" t="s" s="3">
        <v>394</v>
      </c>
      <c r="B399" t="n" s="4">
        <f>150.00</f>
        <v>0.0</v>
      </c>
    </row>
    <row r="400">
      <c r="A400" t="s" s="3">
        <v>395</v>
      </c>
      <c r="B400" t="n" s="4">
        <f>1135.00</f>
        <v>0.0</v>
      </c>
    </row>
    <row r="401">
      <c r="A401" t="s" s="3">
        <v>396</v>
      </c>
      <c r="B401" t="n" s="4">
        <f>0.00</f>
        <v>0.0</v>
      </c>
    </row>
    <row r="402">
      <c r="A402" t="s" s="3">
        <v>397</v>
      </c>
      <c r="B402" t="n" s="4">
        <f>0.00</f>
        <v>0.0</v>
      </c>
    </row>
    <row r="403">
      <c r="A403" t="s" s="3">
        <v>398</v>
      </c>
      <c r="B403" t="n" s="4">
        <f>833.00</f>
        <v>0.0</v>
      </c>
    </row>
    <row r="404">
      <c r="A404" t="s" s="3">
        <v>399</v>
      </c>
      <c r="B404" t="n" s="4">
        <f>306.00</f>
        <v>0.0</v>
      </c>
    </row>
    <row r="405">
      <c r="A405" t="s" s="3">
        <v>400</v>
      </c>
      <c r="B405" t="n" s="4">
        <f>780.00</f>
        <v>0.0</v>
      </c>
    </row>
    <row r="406">
      <c r="A406" t="s" s="3">
        <v>401</v>
      </c>
      <c r="B406" t="n" s="4">
        <f>614.00</f>
        <v>0.0</v>
      </c>
    </row>
    <row r="407">
      <c r="A407" t="s" s="3">
        <v>402</v>
      </c>
      <c r="B407" t="n" s="4">
        <f>150.00</f>
        <v>0.0</v>
      </c>
    </row>
    <row r="408">
      <c r="A408" t="s" s="3">
        <v>403</v>
      </c>
      <c r="B408" t="n" s="4">
        <f>200.00</f>
        <v>0.0</v>
      </c>
    </row>
    <row r="409">
      <c r="A409" t="s" s="3">
        <v>404</v>
      </c>
      <c r="B409" t="n" s="4">
        <f>20.00</f>
        <v>0.0</v>
      </c>
    </row>
    <row r="410">
      <c r="A410" t="s" s="3">
        <v>405</v>
      </c>
      <c r="B410" t="n" s="4">
        <f>172.00</f>
        <v>0.0</v>
      </c>
    </row>
    <row r="411">
      <c r="A411" t="s" s="3">
        <v>406</v>
      </c>
      <c r="B411" t="n" s="4">
        <f>220.00</f>
        <v>0.0</v>
      </c>
    </row>
    <row r="412">
      <c r="A412" t="s" s="3">
        <v>407</v>
      </c>
      <c r="B412" t="n" s="4">
        <f>155.25</f>
        <v>0.0</v>
      </c>
    </row>
    <row r="413">
      <c r="A413" t="s" s="3">
        <v>408</v>
      </c>
      <c r="B413" t="n" s="4">
        <f>20.00</f>
        <v>0.0</v>
      </c>
    </row>
    <row r="414">
      <c r="A414" t="s" s="3">
        <v>409</v>
      </c>
      <c r="B414" s="6"/>
    </row>
    <row r="415">
      <c r="A415" t="s" s="3">
        <v>410</v>
      </c>
      <c r="B415" t="n" s="4">
        <f>150.00</f>
        <v>0.0</v>
      </c>
    </row>
    <row r="416">
      <c r="A416" t="s" s="3">
        <v>411</v>
      </c>
      <c r="B416" t="n" s="5">
        <f>(B414)+(B415)</f>
        <v>0.0</v>
      </c>
    </row>
    <row r="417">
      <c r="A417" t="s" s="3">
        <v>412</v>
      </c>
      <c r="B417" t="n" s="4">
        <f>10.00</f>
        <v>0.0</v>
      </c>
    </row>
    <row r="418">
      <c r="A418" t="s" s="3">
        <v>413</v>
      </c>
      <c r="B418" t="n" s="4">
        <f>1255.50</f>
        <v>0.0</v>
      </c>
    </row>
    <row r="419">
      <c r="A419" t="s" s="3">
        <v>414</v>
      </c>
      <c r="B419" t="n" s="4">
        <f>220.00</f>
        <v>0.0</v>
      </c>
    </row>
    <row r="420">
      <c r="A420" t="s" s="3">
        <v>415</v>
      </c>
      <c r="B420" t="n" s="4">
        <f>70.00</f>
        <v>0.0</v>
      </c>
    </row>
    <row r="421">
      <c r="A421" t="s" s="3">
        <v>416</v>
      </c>
      <c r="B421" t="n" s="4">
        <f>1845.00</f>
        <v>0.0</v>
      </c>
    </row>
    <row r="422">
      <c r="A422" t="s" s="3">
        <v>417</v>
      </c>
      <c r="B422" t="n" s="4">
        <f>10.00</f>
        <v>0.0</v>
      </c>
    </row>
    <row r="423">
      <c r="A423" t="s" s="3">
        <v>418</v>
      </c>
      <c r="B423" t="n" s="4">
        <f>173.00</f>
        <v>0.0</v>
      </c>
    </row>
    <row r="424">
      <c r="A424" t="s" s="3">
        <v>419</v>
      </c>
      <c r="B424" t="n" s="4">
        <f>-101.00</f>
        <v>0.0</v>
      </c>
    </row>
    <row r="425">
      <c r="A425" t="s" s="3">
        <v>420</v>
      </c>
      <c r="B425" t="n" s="4">
        <f>432.00</f>
        <v>0.0</v>
      </c>
    </row>
    <row r="426">
      <c r="A426" t="s" s="3">
        <v>421</v>
      </c>
      <c r="B426" t="n" s="4">
        <f>2450.69</f>
        <v>0.0</v>
      </c>
    </row>
    <row r="427">
      <c r="A427" t="s" s="3">
        <v>422</v>
      </c>
      <c r="B427" t="n" s="4">
        <f>310.50</f>
        <v>0.0</v>
      </c>
    </row>
    <row r="428">
      <c r="A428" t="s" s="3">
        <v>423</v>
      </c>
      <c r="B428" t="n" s="4">
        <f>260.00</f>
        <v>0.0</v>
      </c>
    </row>
    <row r="429">
      <c r="A429" t="s" s="3">
        <v>424</v>
      </c>
      <c r="B429" t="n" s="4">
        <f>130.00</f>
        <v>0.0</v>
      </c>
    </row>
    <row r="430">
      <c r="A430" t="s" s="3">
        <v>425</v>
      </c>
      <c r="B430" t="n" s="4">
        <f>25.00</f>
        <v>0.0</v>
      </c>
    </row>
    <row r="431">
      <c r="A431" t="s" s="3">
        <v>426</v>
      </c>
      <c r="B431" t="n" s="4">
        <f>426.94</f>
        <v>0.0</v>
      </c>
    </row>
    <row r="432">
      <c r="A432" t="s" s="3">
        <v>427</v>
      </c>
      <c r="B432" t="n" s="4">
        <f>221.05</f>
        <v>0.0</v>
      </c>
    </row>
    <row r="433">
      <c r="A433" t="s" s="3">
        <v>428</v>
      </c>
      <c r="B433" t="n" s="4">
        <f>260.00</f>
        <v>0.0</v>
      </c>
    </row>
    <row r="434">
      <c r="A434" t="s" s="3">
        <v>429</v>
      </c>
      <c r="B434" t="n" s="4">
        <f>0.00</f>
        <v>0.0</v>
      </c>
    </row>
    <row r="435">
      <c r="A435" t="s" s="3">
        <v>430</v>
      </c>
      <c r="B435" t="n" s="4">
        <f>290.00</f>
        <v>0.0</v>
      </c>
    </row>
    <row r="436">
      <c r="A436" t="s" s="3">
        <v>431</v>
      </c>
      <c r="B436" t="n" s="4">
        <f>30.00</f>
        <v>0.0</v>
      </c>
    </row>
    <row r="437">
      <c r="A437" t="s" s="3">
        <v>432</v>
      </c>
      <c r="B437" t="n" s="4">
        <f>1260.00</f>
        <v>0.0</v>
      </c>
    </row>
    <row r="438">
      <c r="A438" t="s" s="3">
        <v>433</v>
      </c>
      <c r="B438" t="n" s="4">
        <f>135.00</f>
        <v>0.0</v>
      </c>
    </row>
    <row r="439">
      <c r="A439" t="s" s="3">
        <v>434</v>
      </c>
      <c r="B439" t="n" s="5">
        <f>(B437)+(B438)</f>
        <v>0.0</v>
      </c>
    </row>
    <row r="440">
      <c r="A440" t="s" s="3">
        <v>435</v>
      </c>
      <c r="B440" t="n" s="4">
        <f>130.00</f>
        <v>0.0</v>
      </c>
    </row>
    <row r="441">
      <c r="A441" t="s" s="3">
        <v>436</v>
      </c>
      <c r="B441" t="n" s="4">
        <f>55.00</f>
        <v>0.0</v>
      </c>
    </row>
    <row r="442">
      <c r="A442" t="s" s="3">
        <v>437</v>
      </c>
      <c r="B442" t="n" s="4">
        <f>-200.00</f>
        <v>0.0</v>
      </c>
    </row>
    <row r="443">
      <c r="A443" t="s" s="3">
        <v>438</v>
      </c>
      <c r="B443" t="n" s="4">
        <f>872.00</f>
        <v>0.0</v>
      </c>
    </row>
    <row r="444">
      <c r="A444" t="s" s="3">
        <v>439</v>
      </c>
      <c r="B444" t="n" s="5">
        <f>(B442)+(B443)</f>
        <v>0.0</v>
      </c>
    </row>
    <row r="445">
      <c r="A445" t="s" s="3">
        <v>440</v>
      </c>
      <c r="B445" t="n" s="4">
        <f>2000.00</f>
        <v>0.0</v>
      </c>
    </row>
    <row r="446">
      <c r="A446" t="s" s="3">
        <v>441</v>
      </c>
      <c r="B446" t="n" s="4">
        <f>0.00</f>
        <v>0.0</v>
      </c>
    </row>
    <row r="447">
      <c r="A447" t="s" s="3">
        <v>442</v>
      </c>
      <c r="B447" t="n" s="4">
        <f>260.00</f>
        <v>0.0</v>
      </c>
    </row>
    <row r="448">
      <c r="A448" t="s" s="3">
        <v>443</v>
      </c>
      <c r="B448" t="n" s="4">
        <f>220.00</f>
        <v>0.0</v>
      </c>
    </row>
    <row r="449">
      <c r="A449" t="s" s="3">
        <v>444</v>
      </c>
      <c r="B449" t="n" s="4">
        <f>150.00</f>
        <v>0.0</v>
      </c>
    </row>
    <row r="450">
      <c r="A450" t="s" s="3">
        <v>445</v>
      </c>
      <c r="B450" t="n" s="4">
        <f>100.00</f>
        <v>0.0</v>
      </c>
    </row>
    <row r="451">
      <c r="A451" t="s" s="3">
        <v>446</v>
      </c>
      <c r="B451" t="n" s="4">
        <f>90.00</f>
        <v>0.0</v>
      </c>
    </row>
    <row r="452">
      <c r="A452" t="s" s="3">
        <v>447</v>
      </c>
      <c r="B452" t="n" s="4">
        <f>250.00</f>
        <v>0.0</v>
      </c>
    </row>
    <row r="453">
      <c r="A453" t="s" s="3">
        <v>448</v>
      </c>
      <c r="B453" t="n" s="4">
        <f>150.00</f>
        <v>0.0</v>
      </c>
    </row>
    <row r="454">
      <c r="A454" t="s" s="3">
        <v>449</v>
      </c>
      <c r="B454" t="n" s="4">
        <f>220.00</f>
        <v>0.0</v>
      </c>
    </row>
    <row r="455">
      <c r="A455" t="s" s="3">
        <v>450</v>
      </c>
      <c r="B455" t="n" s="4">
        <f>150.00</f>
        <v>0.0</v>
      </c>
    </row>
    <row r="456">
      <c r="A456" t="s" s="3">
        <v>451</v>
      </c>
      <c r="B456" t="n" s="4">
        <f>255.00</f>
        <v>0.0</v>
      </c>
    </row>
    <row r="457">
      <c r="A457" t="s" s="3">
        <v>452</v>
      </c>
      <c r="B457" t="n" s="4">
        <f>40.00</f>
        <v>0.0</v>
      </c>
    </row>
    <row r="458">
      <c r="A458" t="s" s="3">
        <v>453</v>
      </c>
      <c r="B458" t="n" s="4">
        <f>340.00</f>
        <v>0.0</v>
      </c>
    </row>
    <row r="459">
      <c r="A459" t="s" s="3">
        <v>454</v>
      </c>
      <c r="B459" t="n" s="4">
        <f>243.49</f>
        <v>0.0</v>
      </c>
    </row>
    <row r="460">
      <c r="A460" t="s" s="3">
        <v>455</v>
      </c>
      <c r="B460" t="n" s="4">
        <f>2015.00</f>
        <v>0.0</v>
      </c>
    </row>
    <row r="461">
      <c r="A461" t="s" s="3">
        <v>456</v>
      </c>
      <c r="B461" t="n" s="4">
        <f>150.00</f>
        <v>0.0</v>
      </c>
    </row>
    <row r="462">
      <c r="A462" t="s" s="3">
        <v>457</v>
      </c>
      <c r="B462" t="n" s="4">
        <f>3283.00</f>
        <v>0.0</v>
      </c>
    </row>
    <row r="463">
      <c r="A463" t="s" s="3">
        <v>458</v>
      </c>
      <c r="B463" t="n" s="4">
        <f>300.00</f>
        <v>0.0</v>
      </c>
    </row>
    <row r="464">
      <c r="A464" t="s" s="3">
        <v>459</v>
      </c>
      <c r="B464" t="n" s="4">
        <f>300.00</f>
        <v>0.0</v>
      </c>
    </row>
    <row r="465">
      <c r="A465" t="s" s="3">
        <v>460</v>
      </c>
      <c r="B465" t="n" s="4">
        <f>0.00</f>
        <v>0.0</v>
      </c>
    </row>
    <row r="466">
      <c r="A466" t="s" s="3">
        <v>461</v>
      </c>
      <c r="B466" t="n" s="4">
        <f>165.00</f>
        <v>0.0</v>
      </c>
    </row>
    <row r="467">
      <c r="A467" t="s" s="3">
        <v>462</v>
      </c>
      <c r="B467" t="n" s="4">
        <f>220.00</f>
        <v>0.0</v>
      </c>
    </row>
    <row r="468">
      <c r="A468" t="s" s="3">
        <v>463</v>
      </c>
      <c r="B468" t="n" s="4">
        <f>55.00</f>
        <v>0.0</v>
      </c>
    </row>
    <row r="469">
      <c r="A469" t="s" s="3">
        <v>464</v>
      </c>
      <c r="B469" t="n" s="4">
        <f>2419.00</f>
        <v>0.0</v>
      </c>
    </row>
    <row r="470">
      <c r="A470" t="s" s="3">
        <v>465</v>
      </c>
      <c r="B470" t="n" s="4">
        <f>547.00</f>
        <v>0.0</v>
      </c>
    </row>
    <row r="471">
      <c r="A471" t="s" s="3">
        <v>466</v>
      </c>
      <c r="B471" t="n" s="4">
        <f>13675.38</f>
        <v>0.0</v>
      </c>
    </row>
    <row r="472">
      <c r="A472" t="s" s="3">
        <v>467</v>
      </c>
      <c r="B472" t="n" s="4">
        <f>1029.00</f>
        <v>0.0</v>
      </c>
    </row>
    <row r="473">
      <c r="A473" t="s" s="3">
        <v>468</v>
      </c>
      <c r="B473" t="n" s="4">
        <f>1301.00</f>
        <v>0.0</v>
      </c>
    </row>
    <row r="474">
      <c r="A474" t="s" s="3">
        <v>469</v>
      </c>
      <c r="B474" t="n" s="4">
        <f>260.00</f>
        <v>0.0</v>
      </c>
    </row>
    <row r="475">
      <c r="A475" t="s" s="3">
        <v>470</v>
      </c>
      <c r="B475" t="n" s="4">
        <f>80.00</f>
        <v>0.0</v>
      </c>
    </row>
    <row r="476">
      <c r="A476" t="s" s="3">
        <v>471</v>
      </c>
      <c r="B476" t="n" s="4">
        <f>260.00</f>
        <v>0.0</v>
      </c>
    </row>
    <row r="477">
      <c r="A477" t="s" s="3">
        <v>472</v>
      </c>
      <c r="B477" t="n" s="4">
        <f>120.00</f>
        <v>0.0</v>
      </c>
    </row>
    <row r="478">
      <c r="A478" t="s" s="3">
        <v>473</v>
      </c>
      <c r="B478" t="n" s="4">
        <f>123.31</f>
        <v>0.0</v>
      </c>
    </row>
    <row r="479">
      <c r="A479" t="s" s="3">
        <v>474</v>
      </c>
      <c r="B479" t="n" s="4">
        <f>168.69</f>
        <v>0.0</v>
      </c>
    </row>
    <row r="480">
      <c r="A480" t="s" s="3">
        <v>475</v>
      </c>
      <c r="B480" t="n" s="4">
        <f>260.00</f>
        <v>0.0</v>
      </c>
    </row>
    <row r="481">
      <c r="A481" t="s" s="3">
        <v>476</v>
      </c>
      <c r="B481" t="n" s="4">
        <f>240.00</f>
        <v>0.0</v>
      </c>
    </row>
    <row r="482">
      <c r="A482" t="s" s="3">
        <v>477</v>
      </c>
      <c r="B482" t="n" s="4">
        <f>260.00</f>
        <v>0.0</v>
      </c>
    </row>
    <row r="483">
      <c r="A483" t="s" s="3">
        <v>478</v>
      </c>
      <c r="B483" t="n" s="4">
        <f>145.00</f>
        <v>0.0</v>
      </c>
    </row>
    <row r="484">
      <c r="A484" t="s" s="3">
        <v>479</v>
      </c>
      <c r="B484" t="n" s="4">
        <f>510.00</f>
        <v>0.0</v>
      </c>
    </row>
    <row r="485">
      <c r="A485" t="s" s="3">
        <v>480</v>
      </c>
      <c r="B485" t="n" s="4">
        <f>30.00</f>
        <v>0.0</v>
      </c>
    </row>
    <row r="486">
      <c r="A486" t="s" s="3">
        <v>481</v>
      </c>
      <c r="B486" t="n" s="4">
        <f>30.00</f>
        <v>0.0</v>
      </c>
    </row>
    <row r="487">
      <c r="A487" t="s" s="3">
        <v>482</v>
      </c>
      <c r="B487" t="n" s="4">
        <f>200.00</f>
        <v>0.0</v>
      </c>
    </row>
    <row r="488">
      <c r="A488" t="s" s="3">
        <v>483</v>
      </c>
      <c r="B488" t="n" s="4">
        <f>1010.00</f>
        <v>0.0</v>
      </c>
    </row>
    <row r="489">
      <c r="A489" t="s" s="3">
        <v>484</v>
      </c>
      <c r="B489" t="n" s="4">
        <f>160.00</f>
        <v>0.0</v>
      </c>
    </row>
    <row r="490">
      <c r="A490" t="s" s="3">
        <v>485</v>
      </c>
      <c r="B490" t="n" s="4">
        <f>160.00</f>
        <v>0.0</v>
      </c>
    </row>
    <row r="491">
      <c r="A491" t="s" s="3">
        <v>486</v>
      </c>
      <c r="B491" t="n" s="4">
        <f>220.00</f>
        <v>0.0</v>
      </c>
    </row>
    <row r="492">
      <c r="A492" t="s" s="3">
        <v>487</v>
      </c>
      <c r="B492" t="n" s="4">
        <f>150.00</f>
        <v>0.0</v>
      </c>
    </row>
    <row r="493">
      <c r="A493" t="s" s="3">
        <v>488</v>
      </c>
      <c r="B493" t="n" s="4">
        <f>150.00</f>
        <v>0.0</v>
      </c>
    </row>
    <row r="494">
      <c r="A494" t="s" s="3">
        <v>489</v>
      </c>
      <c r="B494" t="n" s="4">
        <f>210.00</f>
        <v>0.0</v>
      </c>
    </row>
    <row r="495">
      <c r="A495" t="s" s="3">
        <v>490</v>
      </c>
      <c r="B495" t="n" s="4">
        <f>110.00</f>
        <v>0.0</v>
      </c>
    </row>
    <row r="496">
      <c r="A496" t="s" s="3">
        <v>491</v>
      </c>
      <c r="B496" t="n" s="4">
        <f>150.00</f>
        <v>0.0</v>
      </c>
    </row>
    <row r="497">
      <c r="A497" t="s" s="3">
        <v>492</v>
      </c>
      <c r="B497" t="n" s="4">
        <f>50.00</f>
        <v>0.0</v>
      </c>
    </row>
    <row r="498">
      <c r="A498" t="s" s="3">
        <v>493</v>
      </c>
      <c r="B498" t="n" s="4">
        <f>1080.00</f>
        <v>0.0</v>
      </c>
    </row>
    <row r="499">
      <c r="A499" t="s" s="3">
        <v>494</v>
      </c>
      <c r="B499" t="n" s="4">
        <f>658.00</f>
        <v>0.0</v>
      </c>
    </row>
    <row r="500">
      <c r="A500" t="s" s="3">
        <v>495</v>
      </c>
      <c r="B500" t="n" s="4">
        <f>150.00</f>
        <v>0.0</v>
      </c>
    </row>
    <row r="501">
      <c r="A501" t="s" s="3">
        <v>496</v>
      </c>
      <c r="B501" t="n" s="4">
        <f>9238.77</f>
        <v>0.0</v>
      </c>
    </row>
    <row r="502">
      <c r="A502" t="s" s="3">
        <v>497</v>
      </c>
      <c r="B502" t="n" s="7">
        <f>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B8)+(B9))+(B10))+(B11))+(B12))+(B13))+(B14))+(B15))+(B16))+(B17))+(B18))+(B19))+(B20))+(B21))+(B22))+(B23))+(B24))+(B25))+(B26))+(B29))+(B30))+(B31))+(B32))+(B33))+(B34))+(B35))+(B36))+(B37))+(B38))+(B39))+(B40))+(B41))+(B42))+(B43))+(B44))+(B45))+(B46))+(B47))+(B48))+(B49))+(B50))+(B51))+(B52))+(B53))+(B54))+(B55))+(B56))+(B59))+(B62))+(B63))+(B64))+(B65))+(B66))+(B67))+(B68))+(B69))+(B70))+(B71))+(B72))+(B73))+(B74))+(B75))+(B76))+(B77))+(B78))+(B79))+(B80))+(B81))+(B82))+(B83))+(B84))+(B85))+(B86))+(B87))+(B88))+(B89))+(B90))+(B91))+(B92))+(B93))+(B94))+(B95))+(B96))+(B97))+(B98))+(B99))+(B100))+(B101))+(B102))+(B103))+(B104))+(B107))+(B108))+(B109))+(B110))+(B111))+(B112))+(B113))+(B114))+(B115))+(B116))+(B117))+(B118))+(B119))+(B120))+(B121))+(B122))+(B123))+(B124))+(B125))+(B126))+(B127))+(B128))+(B129))+(B130))+(B131))+(B132))+(B133))+(B134))+(B135))+(B136))+(B137))+(B138))+(B139))+(B140))+(B141))+(B142))+(B143))+(B144))+(B145))+(B146))+(B147))+(B148))+(B149))+(B152))+(B153))+(B154))+(B155))+(B156))+(B157))+(B158))+(B159))+(B160))+(B161))+(B162))+(B163))+(B164))+(B165))+(B166))+(B167))+(B168))+(B169))+(B170))+(B171))+(B172))+(B173))+(B174))+(B175))+(B176))+(B179))+(B180))+(B181))+(B182))+(B183))+(B184))+(B185))+(B186))+(B187))+(B188))+(B189))+(B190))+(B191))+(B192))+(B193))+(B194))+(B195))+(B196))+(B197))+(B198))+(B199))+(B200))+(B201))+(B204))+(B205))+(B206))+(B207))+(B216))+(B219))+(B220))+(B221))+(B222))+(B223))+(B224))+(B225))+(B226))+(B227))+(B228))+(B229))+(B230))+(B231))+(B232))+(B233))+(B236))+(B237))+(B238))+(B239))+(B240))+(B241))+(B242))+(B243))+(B244))+(B247))+(B248))+(B249))+(B250))+(B251))+(B252))+(B253))+(B254))+(B255))+(B256))+(B257))+(B258))+(B259))+(B260))+(B261))+(B262))+(B263))+(B264))+(B265))+(B266))+(B267))+(B268))+(B269))+(B270))+(B271))+(B272))+(B273))+(B274))+(B275))+(B276))+(B277))+(B278))+(B279))+(B280))+(B281))+(B284))+(B285))+(B286))+(B289))+(B290))+(B291))+(B292))+(B293))+(B294))+(B295))+(B296))+(B297))+(B298))+(B299))+(B300))+(B301))+(B302))+(B303))+(B304))+(B305))+(B306))+(B307))+(B308))+(B309))+(B310))+(B311))+(B312))+(B313))+(B314))+(B315))+(B316))+(B317))+(B318))+(B319))+(B320))+(B321))+(B322))+(B323))+(B324))+(B325))+(B326))+(B327))+(B328))+(B329))+(B330))+(B331))+(B336))+(B337))+(B338))+(B339))+(B340))+(B341))+(B342))+(B343))+(B344))+(B345))+(B346))+(B347))+(B348))+(B349))+(B352))+(B353))+(B354))+(B355))+(B356))+(B357))+(B358))+(B359))+(B360))+(B361))+(B362))+(B363))+(B364))+(B365))+(B366))+(B367))+(B368))+(B369))+(B370))+(B371))+(B372))+(B373))+(B374))+(B375))+(B376))+(B377))+(B378))+(B379))+(B380))+(B381))+(B382))+(B383))+(B384))+(B385))+(B386))+(B387))+(B388))+(B389))+(B390))+(B391))+(B392))+(B393))+(B394))+(B395))+(B396))+(B397))+(B398))+(B399))+(B400))+(B401))+(B402))+(B403))+(B404))+(B405))+(B406))+(B407))+(B408))+(B409))+(B410))+(B411))+(B412))+(B413))+(B416))+(B417))+(B418))+(B419))+(B420))+(B421))+(B422))+(B423))+(B424))+(B425))+(B426))+(B427))+(B428))+(B429))+(B430))+(B431))+(B432))+(B433))+(B434))+(B435))+(B436))+(B439))+(B440))+(B441))+(B444))+(B445))+(B446))+(B447))+(B448))+(B449))+(B450))+(B451))+(B452))+(B453))+(B454))+(B455))+(B456))+(B457))+(B458))+(B459))+(B460))+(B461))+(B462))+(B463))+(B464))+(B465))+(B466))+(B467))+(B468))+(B469))+(B470))+(B471))+(B472))+(B473))+(B474))+(B475))+(B476))+(B477))+(B478))+(B479))+(B480))+(B481))+(B482))+(B483))+(B484))+(B485))+(B486))+(B487))+(B488))+(B489))+(B490))+(B491))+(B492))+(B493))+(B494))+(B495))+(B496))+(B497))+(B498))+(B499))+(B500))+(B501)</f>
        <v>0.0</v>
      </c>
    </row>
    <row r="503">
      <c r="A503" s="3"/>
      <c r="B503" s="6"/>
    </row>
    <row r="506">
      <c r="A506" s="8" t="s">
        <v>498</v>
      </c>
      <c r="B506"/>
    </row>
  </sheetData>
  <mergeCells count="4">
    <mergeCell ref="A506:B506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2023-11-06T19:41:43Z</dcterms:created>
  <dc:creator>Apache POI</dc:creator>
</cp:coreProperties>
</file>