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<sst xmlns="http://schemas.openxmlformats.org/spreadsheetml/2006/main" count="2502" uniqueCount="901">
  <si>
    <t>Business</t>
  </si>
  <si>
    <t>Business2</t>
  </si>
  <si>
    <t>Date and Time</t>
  </si>
  <si>
    <t>DISSOLVED</t>
  </si>
  <si>
    <t>PENDING</t>
  </si>
  <si>
    <t>PAST DUE</t>
  </si>
  <si>
    <t>DUE</t>
  </si>
  <si>
    <t>Action</t>
  </si>
  <si>
    <t>​ IT’S TIME TO RENEW YOUR MARK</t>
  </si>
  <si>
    <t>BUSINESS ENTITY REPORT DUE</t>
  </si>
  <si>
    <t xml:space="preserve">503 TRANSPORT LLC​  </t>
  </si>
  <si>
    <t>BUESINESS ENTITY REPORT DUE</t>
  </si>
  <si>
    <t xml:space="preserve">504 TRANSPORT LLC​  </t>
  </si>
  <si>
    <t xml:space="preserve">505 TRANSPORT LLC​  </t>
  </si>
  <si>
    <t xml:space="preserve">506 TRANSPORT LLC​  </t>
  </si>
  <si>
    <t>BUSINESS ENTITY REPORT PAST DUE</t>
  </si>
  <si>
    <t xml:space="preserve">507 TRANSPORT LLC​  </t>
  </si>
  <si>
    <t>YOUR BUSINESS IS OR IS PENDING DISSOLUTION</t>
  </si>
  <si>
    <t xml:space="preserve">508 TRANSPORT LLC​  </t>
  </si>
  <si>
    <t>ADAN ESTUARDO LOPEZ PEREZ LLC​</t>
  </si>
  <si>
    <t xml:space="preserve">ADAN ESTUARDO LOPEZ PEREZ LLC​   </t>
  </si>
  <si>
    <t>ADAN ESTUARDO LOPEZ PEREZ LLC​ BUSINESS ENTITY REPORT DUE</t>
  </si>
  <si>
    <t>ADAN ESTUARDO LOPEZ PEREZ LLC​ BUSINESS ENTITY REPORT PAST DUE</t>
  </si>
  <si>
    <t>YOUR BUSINESS HAS BEEN ADMINISTRATIVELY DISSOLVED.</t>
  </si>
  <si>
    <t>ADAN ESTUARDO LOPEZ PEREZ LLC​ YOUR BUSINESS HAS BEEN ADMINISTRATIVELY DISSOLVED.</t>
  </si>
  <si>
    <t>IS DESOLVED</t>
  </si>
  <si>
    <t>ADAN ESTUARDO LOPEZ PEREZ LLC​ YOUR BUSINESS IS PENDING ADMINISTRATIVE DISSOLUTION</t>
  </si>
  <si>
    <t>AE STAFFING &amp; SOLUTIONS LLC​</t>
  </si>
  <si>
    <t xml:space="preserve">AE STAFFING &amp; SOLUTIONS LLC​   </t>
  </si>
  <si>
    <t>AE STAFFING &amp; SOLUTIONS LLC​ BUSINESS ENTITY REPORT DUE</t>
  </si>
  <si>
    <t xml:space="preserve">AGUACATES ALVAREZ LLC​  </t>
  </si>
  <si>
    <t xml:space="preserve">AGUACATES ALVAREZ LLC​     </t>
  </si>
  <si>
    <t>AGUACATES ALVAREZ LLC​ BUSINESS ENTITY REPORT DUE</t>
  </si>
  <si>
    <t>AGUACATES ALVAREZ LLC​ BUSINESS ENTITY REPORT PAST DUE</t>
  </si>
  <si>
    <t>AGUACATES ALVAREZ LLC​ YOUR BUSINESS IS PENDING ADMINISTRATIVE DISSOLUTION</t>
  </si>
  <si>
    <t xml:space="preserve">ALFONSO RODRIGUEZ VALVERDE LLC​ </t>
  </si>
  <si>
    <t xml:space="preserve">ALFONSO RODRIGUEZ VALVERDE LLC​    </t>
  </si>
  <si>
    <t>ALFONSO RODRIGUEZ VALVERDE LLC​ BUSINESS ENTITY REPORT DUE</t>
  </si>
  <si>
    <t>ALFONSO RODRIGUEZ VALVERDE LLC​ BUSINESS ENTITY REPORT PAST DUE</t>
  </si>
  <si>
    <t>ALFONSO RODRIGUEZ VALVERDE LLC​ YOUR BUSINESS HAS BEEN ADMINISTRATIVELY DISSOLVED.</t>
  </si>
  <si>
    <t>ALFONSO RODRIGUEZ VALVERDE LLC​ YOUR BUSINESS IS PENDING ADMINISTRATIVE DISSOLUTION</t>
  </si>
  <si>
    <t xml:space="preserve">ALL EVENT BANQUET LLC​ </t>
  </si>
  <si>
    <t>ALL EVENT BANQUET LLC​ YOUR BUSINESS HAS BEEN ADMINISTRATIVELY DISSOLVED.</t>
  </si>
  <si>
    <t>ALL EVENT BANQUET LLC​ YOUR BUSINESS IS PENDING ADMINISTRATIVE DISSOLUTION</t>
  </si>
  <si>
    <t>ANA E CLAVEL MOLINA LLC​</t>
  </si>
  <si>
    <t>ANA E CLAVEL MOLINA LLC​ BUSINESS ENTITY REPORT DUE</t>
  </si>
  <si>
    <t xml:space="preserve">ANGEL RAMIREZ ALCOCER LLC​ </t>
  </si>
  <si>
    <t>ANGEL RAMIREZ ALCOCER LLC​ BUSINESS ENTITY REPORT DUE</t>
  </si>
  <si>
    <t>ANGEL RAMIREZ ALCOCER LLC​ BUSINESS ENTITY REPORT PAST DUE</t>
  </si>
  <si>
    <t>ANGEL RAMIREZ ALCOCER LLC​ YOUR BUSINESS IS PENDING ADMINISTRATIVE DISSOLUTION</t>
  </si>
  <si>
    <t xml:space="preserve">ANTONIO PENA HERNANDEZ LLC​    </t>
  </si>
  <si>
    <t>ANTONIO PENA HERNANDEZ LLC​ YOUR BUSINESS HAS BEEN ADMINISTRATIVELY DISSOLVED.</t>
  </si>
  <si>
    <t xml:space="preserve">ANTONIO QUINILLO LLC​     </t>
  </si>
  <si>
    <t>ANTONIO QUINILLO LLC​ BUSINESS ENTITY REPORT DUE</t>
  </si>
  <si>
    <t xml:space="preserve">APC ADVANCE PAINTING &amp; CONSTRUCTION LLC​  </t>
  </si>
  <si>
    <t>APC ADVANCE PAINTING &amp; CONSTRUCTION LLC​ BUSINESS ENTITY REPORT DUE</t>
  </si>
  <si>
    <t xml:space="preserve">BARAHONA TECHNICAL SERVICE LLC​ </t>
  </si>
  <si>
    <t xml:space="preserve">BARAHONA TECHNICAL SERVICE LLC​    </t>
  </si>
  <si>
    <t>BARAHONA TECHNICAL SERVICE LLC​ BUSINESS ENTITY REPORT DUE</t>
  </si>
  <si>
    <t xml:space="preserve">BERNARD G LLC​  </t>
  </si>
  <si>
    <t>BERNARD G LLC​ BUSINESS ENTITY REPORT DUE</t>
  </si>
  <si>
    <t>BERNARD G LLC​ BUSINESS ENTITY REPORT PAST DUE</t>
  </si>
  <si>
    <t xml:space="preserve">BERNARDO HERNANDEZ CORONA LLC​ </t>
  </si>
  <si>
    <t xml:space="preserve">BERNARDO HERNANDEZ CORONA LLC​    </t>
  </si>
  <si>
    <t>BERNARDO HERNANDEZ CORONA LLC​ BUSINESS ENTITY REPORT DUE</t>
  </si>
  <si>
    <t>BERNARDO HERNANDEZ CORONA LLC​ BUSINESS ENTITY REPORT PAST DUE</t>
  </si>
  <si>
    <t>BERNARDO HERNANDEZ CORONA LLC​ YOUR BUSINESS HAS BEEN ADMINISTRATIVELY DISSOLVED.</t>
  </si>
  <si>
    <t>BERNARDO HERNANDEZ CORONA LLC​ YOUR BUSINESS IS PENDING ADMINISTRATIVE DISSOLUTION</t>
  </si>
  <si>
    <t xml:space="preserve">BLESS ME LLC ​     </t>
  </si>
  <si>
    <t>BLESS ME LLC ​ BUSINESS ENTITY REPORT DUE</t>
  </si>
  <si>
    <t>Business 503 TRANSPORT LLC​</t>
  </si>
  <si>
    <t>Business COLLECTTOYS LLC​</t>
  </si>
  <si>
    <t>Business CORANGUEZ LLC ​</t>
  </si>
  <si>
    <t>Business DOMINGO MARQUIN-MENDOZA LLC​</t>
  </si>
  <si>
    <t>Business DUVIS REMODELING LLC​</t>
  </si>
  <si>
    <t xml:space="preserve">BUSINESS ENTITY REPORT DUE </t>
  </si>
  <si>
    <t>BUSINESS ENTITY REPORT DUE ​</t>
  </si>
  <si>
    <t>Business ESMERALDA LISSETTE GUERRA RODRIGUEZ LLC​</t>
  </si>
  <si>
    <t>Business EVELYN YESENIA LLC​</t>
  </si>
  <si>
    <t>Business KEVIN ALONSO VARGAS LLC​</t>
  </si>
  <si>
    <t>Business LIBETH LOPEZ MIRANDA LLC​</t>
  </si>
  <si>
    <t>Business OSMAN JOSUE CHACON LLC​</t>
  </si>
  <si>
    <t>CARLOS ALBERTO ORTIZ ANDRADE LLC​</t>
  </si>
  <si>
    <t xml:space="preserve">CARLOS ALBERTO ORTIZ ANDRADE LLC​ </t>
  </si>
  <si>
    <t xml:space="preserve">CARLOS ALBERTO ORTIZ ANDRADE LLC​   </t>
  </si>
  <si>
    <t>CARLOS ALBERTO ORTIZ ANDRADE LLC​ BUSINESS ENTITY REPORT DUE</t>
  </si>
  <si>
    <t>CARLOS ALBERTO ORTIZ ANDRADE LLC​ BUSINESS ENTITY REPORT PAST DUE</t>
  </si>
  <si>
    <t>CARLOS ALBERTO ORTIZ ANDRADE LLC​ YOUR BUSINESS IS PENDING ADMINISTRATIVE DISSOLUTION</t>
  </si>
  <si>
    <t xml:space="preserve">CARLOS DANIEL LLC ​  </t>
  </si>
  <si>
    <t xml:space="preserve">CARLOS DANIEL LLC ​     </t>
  </si>
  <si>
    <t>CARLOS DANIEL LLC ​ BUSINESS ENTITY REPORT DUE</t>
  </si>
  <si>
    <t>CHIROY ENTERPRISES HVAC LLC​ BUSINESS ENTITY REPORT DUE</t>
  </si>
  <si>
    <t xml:space="preserve">CLEANING SERVICES GEN LLC​ </t>
  </si>
  <si>
    <t xml:space="preserve">CLEANING SERVICES GEN LLC​    </t>
  </si>
  <si>
    <t>CLEANING SERVICES GEN LLC​ BUSINESS ENTITY REPORT DUE</t>
  </si>
  <si>
    <t>CLEANING SERVICES GEN LLC​ BUSINESS ENTITY REPORT PAST DUE</t>
  </si>
  <si>
    <t>CLEANING SERVICES GEN LLC​ YOUR BUSINESS IS PENDING ADMINISTRATIVE DISSOLUTION</t>
  </si>
  <si>
    <t xml:space="preserve">COCO BONGOS INDY LLC​ </t>
  </si>
  <si>
    <t>COCO BONGOS INDY LLC​ BUSINESS ENTITY REPORT DUE</t>
  </si>
  <si>
    <t xml:space="preserve">COLLECTTOYS LLC​   </t>
  </si>
  <si>
    <t>COLLECTTOYS LLC​ BUSINESS ENTITY REPORT DUE</t>
  </si>
  <si>
    <t>COLLECTTOYS LLC​ BUSINESS ENTITY REPORT PAST DUE</t>
  </si>
  <si>
    <t>COLLECTTOYS LLC​ YOUR BUSINESS IS PENDING ADMINISTRATIVE DISSOLUTION</t>
  </si>
  <si>
    <t xml:space="preserve">CORANGUEZ LLC ​   </t>
  </si>
  <si>
    <t>CORANGUEZ LLC ​ BUSINESS ENTITY REPORT DUE</t>
  </si>
  <si>
    <t xml:space="preserve">CR MASONRY LLC​  </t>
  </si>
  <si>
    <t xml:space="preserve">CR MASONRY LLC​     </t>
  </si>
  <si>
    <t>CR MASONRY LLC​ BUSINESS ENTITY REPORT DUE</t>
  </si>
  <si>
    <t>CR MASONRY LLC​ BUSINESS ENTITY REPORT PAST DUE</t>
  </si>
  <si>
    <t>CR MASONRY LLC​ YOUR BUSINESS IS PENDING ADMINISTRATIVE DISSOLUTION</t>
  </si>
  <si>
    <t xml:space="preserve">CREATED BY JAYSON LLC​ </t>
  </si>
  <si>
    <t>CREATED BY JAYSON LLC​ YOUR BUSINESS HAS BEEN ADMINISTRATIVELY DISSOLVED.</t>
  </si>
  <si>
    <t>CREATED BY JAYSON LLC​ YOUR BUSINESS IS PENDING ADMINISTRATIVE DISSOLUTION</t>
  </si>
  <si>
    <t>CREATED BY JR PICOS LLC​</t>
  </si>
  <si>
    <t>CREATED BY JR PICOS LLC​ BUSINESS ENTITY REPORT DUE</t>
  </si>
  <si>
    <t>D ANGELES AUTO SERVICES LLC​</t>
  </si>
  <si>
    <t>D ANGELES AUTO SERVICES LLC​ BUSINESS ENTITY REPORT DUE</t>
  </si>
  <si>
    <t xml:space="preserve">DIEGO DIAZ PEREZ LLC​ </t>
  </si>
  <si>
    <t xml:space="preserve">DIEGO DIAZ PEREZ LLC​    </t>
  </si>
  <si>
    <t>DIEGO DIAZ PEREZ LLC​ BUSINESS ENTITY REPORT DUE</t>
  </si>
  <si>
    <t>DIEGO DIAZ PEREZ LLC​ BUSINESS ENTITY REPORT PAST DUE</t>
  </si>
  <si>
    <t>Displaying page 10 of 46,</t>
  </si>
  <si>
    <t>Displaying page 10 of 46, items 361 to 400 of 1832 &lt; Previous</t>
  </si>
  <si>
    <t>Displaying page 11 of 46,</t>
  </si>
  <si>
    <t>Displaying page 11 of 46, items 401 to 440 of 1832 &lt; Previous</t>
  </si>
  <si>
    <t>Displaying page 5 of 46,</t>
  </si>
  <si>
    <t>Displaying page 5 of 46, items 161 to 200 of 1832 &lt; Previous</t>
  </si>
  <si>
    <t>Displaying page 6 of 46,</t>
  </si>
  <si>
    <t>Displaying page 6 of 46, items 201 to 240 of 1832 &lt; Previous</t>
  </si>
  <si>
    <t>Displaying page 7 of 46,</t>
  </si>
  <si>
    <t>Displaying page 7 of 46, items 241 to 280 of 1832 &lt; Previous</t>
  </si>
  <si>
    <t>Displaying page 8 of 46,</t>
  </si>
  <si>
    <t>Displaying page 8 of 46, items 281 to 320 of 1832 &lt; Previous</t>
  </si>
  <si>
    <t>Displaying page 9 of 46, items 321 to</t>
  </si>
  <si>
    <t>Displaying page 9 of 46, items 321 to 360 of 1832 &lt; Previous</t>
  </si>
  <si>
    <t xml:space="preserve">DOMINGO MARQUIN-MENDOZA LLC​  </t>
  </si>
  <si>
    <t>DOMINGO MARQUIN-MENDOZA LLC​ BUSINESS ENTITY REPORT DUE</t>
  </si>
  <si>
    <t xml:space="preserve">DUVIS REMODELING LLC​  </t>
  </si>
  <si>
    <t>DUVIS REMODELING LLC​ BUSINESS ENTITY REPORT DUE</t>
  </si>
  <si>
    <t>DUVIS REMODELING LLC​ BUSINESS ENTITY REPORT PAST DUE</t>
  </si>
  <si>
    <t>DUVIS REMODELING LLC​ YOUR BUSINESS IS PENDING ADMINISTRATIVE DISSOLUTION</t>
  </si>
  <si>
    <t>EDI SANOTS CARRANZA SANCHEZ LLC​</t>
  </si>
  <si>
    <t xml:space="preserve">EDI SANOTS CARRANZA SANCHEZ LLC​   </t>
  </si>
  <si>
    <t>EDI SANOTS CARRANZA SANCHEZ LLC​ BUSINESS ENTITY REPORT DUE</t>
  </si>
  <si>
    <t>EDI SANOTS CARRANZA SANCHEZ LLC​ BUSINESS ENTITY REPORT PAST DUE</t>
  </si>
  <si>
    <t>EDI SANOTS CARRANZA SANCHEZ LLC​ YOUR BUSINESS IS PENDING ADMINISTRATIVE DISSOLUTION</t>
  </si>
  <si>
    <t>EDSON YAHIR BOGARIN DE LA CRUZ LLC​ YOUR BUSINESS HAS BEEN ADMINISTRATIVELY DISSOLVED.</t>
  </si>
  <si>
    <t xml:space="preserve">EL AMIGO CHAPIN LLC​ </t>
  </si>
  <si>
    <t>EL AMIGO CHAPIN LLC​ BUSINESS ENTITY REPORT DUE</t>
  </si>
  <si>
    <t>EL AMIGO CHAPIN LLC​ BUSINESS ENTITY REPORT PAST DUE</t>
  </si>
  <si>
    <t>ESMERALDA LISSETTE GUERRA RODRIGUEZ LLC​</t>
  </si>
  <si>
    <t>ESMERALDA LISSETTE GUERRA RODRIGUEZ LLC​ YOUR BUSINESS HAS BEEN ADMINISTRATIVELY DISSOLVED.</t>
  </si>
  <si>
    <t>ESMERALDA LISSETTE GUERRA RODRIGUEZ LLC​ YOUR BUSINESS IS PENDING ADMINISTRATIVE DISSOLUTION</t>
  </si>
  <si>
    <t xml:space="preserve">EVELYN YESENIA LLC​  </t>
  </si>
  <si>
    <t>EVELYN YESENIA LLC​ BUSINESS ENTITY REPORT DUE</t>
  </si>
  <si>
    <t>EVELYN YESENIA LLC​ BUSINESS ENTITY REPORT PAST DUE</t>
  </si>
  <si>
    <t>FELIPE D VELIZ TURCIOS LLC ​ BUSINESS ENTITY REPORT DUE</t>
  </si>
  <si>
    <t xml:space="preserve">FELIX GONZALEZ ORTIZ LLC​    </t>
  </si>
  <si>
    <t>FELIX GONZALEZ ORTIZ LLC​ YOUR BUSINESS HAS BEEN ADMINISTRATIVELY DISSOLVED.</t>
  </si>
  <si>
    <t>FELIX GONZALEZ ORTIZ LLC​ YOUR BUSINESS IS PENDING ADMINISTRATIVE DISSOLUTION</t>
  </si>
  <si>
    <t xml:space="preserve">GABRIEL TRUJILLO TAMARIZ LLC​ </t>
  </si>
  <si>
    <t>GABRIEL TRUJILLO TAMARIZ LLC​ BUSINESS ENTITY REPORT PAST DUE</t>
  </si>
  <si>
    <t>GABRIEL TRUJILLO TAMARIZ LLC​ YOUR BUSINESS HAS BEEN ADMINISTRATIVELY DISSOLVED.</t>
  </si>
  <si>
    <t>GABRIEL TRUJILLO TAMARIZ LLC​ YOUR BUSINESS IS PENDING ADMINISTRATIVE DISSOLUTION</t>
  </si>
  <si>
    <t>GAMA'S ROOFING &amp; REMODELING LLC ​</t>
  </si>
  <si>
    <t>GAMA'S ROOFING &amp; REMODELING LLC ​ BUSINESS ENTITY REPORT DUE</t>
  </si>
  <si>
    <t xml:space="preserve">GARCIA CLEANING SERVICES LLC​ </t>
  </si>
  <si>
    <t>GARCIA CLEANING SERVICES LLC​ BUSINESS ENTITY REPORT DUE</t>
  </si>
  <si>
    <t>GARCIA CLEANING SERVICES LLC​ BUSINESS ENTITY REPORT PAST DUE</t>
  </si>
  <si>
    <t xml:space="preserve">GENERAL CONSTRUCTION GROUP LLC​ </t>
  </si>
  <si>
    <t>GENERAL CONSTRUCTION GROUP LLC​ BUSINESS ENTITY REPORT DUE</t>
  </si>
  <si>
    <t>GENERAL CONSTRUCTION GROUP LLC​ BUSINESS ENTITY REPORT PAST DUE</t>
  </si>
  <si>
    <t xml:space="preserve">GOLOSINAS LA JAROCHA LLC​ </t>
  </si>
  <si>
    <t>GOLOSINAS LA JAROCHA LLC​ BUSINESS ENTITY REPORT DUE</t>
  </si>
  <si>
    <t>GOLOSINAS LA JAROCHA LLC​ BUSINESS ENTITY REPORT PAST DUE</t>
  </si>
  <si>
    <t>GOLOSINAS LA JAROCHA LLC​ YOUR BUSINESS IS PENDING ADMINISTRATIVE DISSOLUTION</t>
  </si>
  <si>
    <t xml:space="preserve">H&amp;M SOLUTIONS LLC​  </t>
  </si>
  <si>
    <t>H&amp;M SOLUTIONS LLC​ BUSINESS ENTITY REPORT DUE</t>
  </si>
  <si>
    <t xml:space="preserve">HERUVIEL MORALES LLC​  </t>
  </si>
  <si>
    <t>HERUVIEL MORALES LLC​ BUSINESS ENTITY REPORT DUE</t>
  </si>
  <si>
    <t xml:space="preserve">IDM MEDIA GROUP LTD.​ </t>
  </si>
  <si>
    <t>IDM MEDIA GROUP LTD.​ BUSINESS ENTITY REPORT DUE</t>
  </si>
  <si>
    <t>IDM MEDIA GROUP LTD.​ BUSINESS ENTITY REPORT PAST DUE</t>
  </si>
  <si>
    <t xml:space="preserve">ILCM PAINTING CLEANING &amp; REMODELING LLC​  </t>
  </si>
  <si>
    <t>ILCM PAINTING CLEANING &amp; REMODELING LLC​ BUSINESS ENTITY REPORT DUE</t>
  </si>
  <si>
    <t xml:space="preserve">INDY COMMERCIAL ROOFING LLC​    </t>
  </si>
  <si>
    <t>INDY COMMERCIAL ROOFING LLC​ YOUR BUSINESS HAS BEEN ADMINISTRATIVELY DISSOLVED.</t>
  </si>
  <si>
    <t xml:space="preserve">INDY FUDS LLC​  </t>
  </si>
  <si>
    <t>INDY FUDS LLC​ BUSINESS ENTITY REPORT DUE</t>
  </si>
  <si>
    <t>INDY FUDS LLC​ BUSINESS ENTITY REPORT PAST DUE</t>
  </si>
  <si>
    <t xml:space="preserve">ISABEL S AVILA LLC​ </t>
  </si>
  <si>
    <t xml:space="preserve">ISABEL S AVILA LLC​    </t>
  </si>
  <si>
    <t>ISABEL S AVILA LLC​ BUSINESS ENTITY REPORT DUE</t>
  </si>
  <si>
    <t>ISABEL S AVILA LLC​ BUSINESS ENTITY REPORT PAST DUE</t>
  </si>
  <si>
    <t>ISABEL S AVILA LLC​ YOUR BUSINESS IS PENDING ADMINISTRATIVE DISSOLUTION</t>
  </si>
  <si>
    <t xml:space="preserve">ISAURA CONSTRUCTION LLC​  </t>
  </si>
  <si>
    <t>ISAURA CONSTRUCTION LLC​ BUSINESS ENTITY REPORT DUE</t>
  </si>
  <si>
    <t>ISAURA CONSTRUCTION LLC​ BUSINESS ENTITY REPORT PAST DUE</t>
  </si>
  <si>
    <t>IT’S TIME TO RENEW YOUR MARK ANGEL RAMIREZ ALCOCER LLC​</t>
  </si>
  <si>
    <t>IT’S TIME TO RENEW YOUR MARK EVELYN YESENIA LLC​</t>
  </si>
  <si>
    <t>IVIS HUMBERTO MEJIA AGUILAR LLC​ YOUR BUSINESS HAS BEEN ADMINISTRATIVELY DISSOLVED.</t>
  </si>
  <si>
    <t xml:space="preserve">JAENSOMAR HANDYMAN LLC​  </t>
  </si>
  <si>
    <t>JAENSOMAR HANDYMAN LLC​ BUSINESS ENTITY REPORT DUE</t>
  </si>
  <si>
    <t>JAENSOMAR HANDYMAN LLC​ BUSINESS ENTITY REPORT PAST DUE</t>
  </si>
  <si>
    <t>JAENSOMAR HANDYMAN LLC​ YOUR BUSINESS IS PENDING ADMINISTRATIVE DISSOLUTION</t>
  </si>
  <si>
    <t>JAVIER A OCON SILES LLC​</t>
  </si>
  <si>
    <t xml:space="preserve">JAVIER A OCON SILES LLC​   </t>
  </si>
  <si>
    <t>JAVIER A OCON SILES LLC​ BUSINESS ENTITY REPORT DUE</t>
  </si>
  <si>
    <t>JAVIER A OCON SILES LLC​ BUSINESS ENTITY REPORT PAST DUE</t>
  </si>
  <si>
    <t>JAVIER A OCON SILES LLC​ YOUR BUSINESS IS PENDING ADMINISTRATIVE DISSOLUTION</t>
  </si>
  <si>
    <t xml:space="preserve">JAVIER JIMENEZ ONOFRE LLC​ </t>
  </si>
  <si>
    <t>JAVIER JIMENEZ ONOFRE LLC​ BUSINESS ENTITY REPORT DUE</t>
  </si>
  <si>
    <t>JAVIER JIMENEZ ONOFRE LLC​ BUSINESS ENTITY REPORT PAST DUE</t>
  </si>
  <si>
    <t xml:space="preserve">JCM REMODELING LLC​     </t>
  </si>
  <si>
    <t>JCM REMODELING LLC​ YOUR BUSINESS HAS BEEN ADMINISTRATIVELY DISSOLVED.</t>
  </si>
  <si>
    <t xml:space="preserve">JORGE OSORINIO LLC​     </t>
  </si>
  <si>
    <t>JORGE OSORINIO LLC​ YOUR BUSINESS HAS BEEN ADMINISTRATIVELY DISSOLVED.</t>
  </si>
  <si>
    <t>JORGE OSORINIO LLC​ YOUR BUSINESS IS PENDING ADMINISTRATIVE DISSOLUTION</t>
  </si>
  <si>
    <t>JOSE BERNABE BADILLO FUENTES LLC​</t>
  </si>
  <si>
    <t>JOSE BERNABE BADILLO FUENTES LLC​ BUSINESS ENTITY REPORT DUE</t>
  </si>
  <si>
    <t>JOSE MATEO MIGUEL BALTAZAR LLC​</t>
  </si>
  <si>
    <t>JOSE MATEO MIGUEL BALTAZAR LLC​ YOUR BUSINESS HAS BEEN ADMINISTRATIVELY DISSOLVED.</t>
  </si>
  <si>
    <t xml:space="preserve">JOSEFA HERNANDEZ VERA LLC​ </t>
  </si>
  <si>
    <t xml:space="preserve">JOSEFA HERNANDEZ VERA LLC​    </t>
  </si>
  <si>
    <t>JOSEFA HERNANDEZ VERA LLC​ BUSINESS ENTITY REPORT DUE</t>
  </si>
  <si>
    <t>JOSEFA HERNANDEZ VERA LLC​ BUSINESS ENTITY REPORT PAST DUE</t>
  </si>
  <si>
    <t>JOSEFA HERNANDEZ VERA LLC​ YOUR BUSINESS IS PENDING ADMINISTRATIVE DISSOLUTION</t>
  </si>
  <si>
    <t xml:space="preserve">JOYERIA REYNA LLC​  </t>
  </si>
  <si>
    <t>JOYERIA REYNA LLC​ BUSINESS ENTITY REPORT DUE</t>
  </si>
  <si>
    <t xml:space="preserve">JUAN GARCIA DURAN LLC​ </t>
  </si>
  <si>
    <t>JUAN GARCIA DURAN LLC​ BUSINESS ENTITY REPORT DUE</t>
  </si>
  <si>
    <t xml:space="preserve">JUSTO ROGELIO FUENTES MORALES LLC​   </t>
  </si>
  <si>
    <t>JUSTO ROGELIO FUENTES MORALES LLC​ YOUR BUSINESS IS PENDING ADMINISTRATIVE DISSOLUTION</t>
  </si>
  <si>
    <t xml:space="preserve">KATHY'S RIDES LLC​  </t>
  </si>
  <si>
    <t>KATHY'S RIDES LLC​ BUSINESS ENTITY REPORT DUE</t>
  </si>
  <si>
    <t>KATHY'S RIDES LLC​ BUSINESS ENTITY REPORT PAST DUE</t>
  </si>
  <si>
    <t>KATHY'S RIDES LLC​ YOUR BUSINESS IS PENDING ADMINISTRATIVE DISSOLUTION</t>
  </si>
  <si>
    <t>KEVIN ALONSO VARGAS LLC​ BUSINESS ENTITY REPORT DUE</t>
  </si>
  <si>
    <t xml:space="preserve">LA FIESTA BURRITO LLC,​ </t>
  </si>
  <si>
    <t>LA FIESTA BURRITO LLC,​ BUSINESS ENTITY REPORT DUE</t>
  </si>
  <si>
    <t xml:space="preserve">LA FORTALEZA LLC​  </t>
  </si>
  <si>
    <t>LA FORTALEZA LLC​ YOUR BUSINESS HAS BEEN ADMINISTRATIVELY DISSOLVED.</t>
  </si>
  <si>
    <t xml:space="preserve">LA MIXTECA RESTAURANT INC​    </t>
  </si>
  <si>
    <t>LA MIXTECA RESTAURANT INC​ BUSINESS ENTITY REPORT DUE</t>
  </si>
  <si>
    <t xml:space="preserve">LALOS CLEANING PRODUCTS LLC​ </t>
  </si>
  <si>
    <t>LALOS CLEANING PRODUCTS LLC​ BUSINESS ENTITY REPORT DUE</t>
  </si>
  <si>
    <t>LALOS CLEANING PRODUCTS LLC​ BUSINESS ENTITY REPORT PAST DUE</t>
  </si>
  <si>
    <t>LALOS CLEANING PRODUCTS LLC​ YOUR BUSINESS IS PENDING ADMINISTRATIVE DISSOLUTION</t>
  </si>
  <si>
    <t xml:space="preserve">LIBETH LOPEZ MIRANDA LLC​ </t>
  </si>
  <si>
    <t xml:space="preserve">LIBETH LOPEZ MIRANDA LLC​    </t>
  </si>
  <si>
    <t>LIBETH LOPEZ MIRANDA LLC​ BUSINESS ENTITY REPORT DUE</t>
  </si>
  <si>
    <t>LIBETH LOPEZ MIRANDA LLC​ BUSINESS ENTITY REPORT PAST DUE</t>
  </si>
  <si>
    <t>LIBETH LOPEZ MIRANDA LLC​ YOUR BUSINESS IS PENDING ADMINISTRATIVE DISSOLUTION</t>
  </si>
  <si>
    <t xml:space="preserve">LMW PAINTING LLC​  </t>
  </si>
  <si>
    <t>LMW PAINTING LLC​ BUSINESS ENTITY REPORT DUE</t>
  </si>
  <si>
    <t>LMW PAINTING LLC​ BUSINESS ENTITY REPORT PAST DUE</t>
  </si>
  <si>
    <t xml:space="preserve">MALAGON'S LLC​   </t>
  </si>
  <si>
    <t>MALAGON'S LLC​ BUSINESS ENTITY REPORT DUE</t>
  </si>
  <si>
    <t>MALAGON'S LLC​ BUSINESS ENTITY REPORT PAST DUE</t>
  </si>
  <si>
    <t>MALAGON'S LLC​ YOUR BUSINESS IS PENDING ADMINISTRATIVE DISSOLUTION</t>
  </si>
  <si>
    <t>MALDONADO LLC​ BUSINESS ENTITY REPORT DUE</t>
  </si>
  <si>
    <t xml:space="preserve">MARIA SALGUERO SANTOS-MEJIA LLC​ </t>
  </si>
  <si>
    <t>MARIA SALGUERO SANTOS-MEJIA LLC​ BUSINESS ENTITY REPORT DUE</t>
  </si>
  <si>
    <t>MARIA SALGUERO SANTOS-MEJIA LLC​ BUSINESS ENTITY REPORT PAST DUE</t>
  </si>
  <si>
    <t>MARIA SALGUERO SANTOS-MEJIA LLC​ YOUR BUSINESS IS PENDING ADMINISTRATIVE DISSOLUTION</t>
  </si>
  <si>
    <t xml:space="preserve">MARILYN LLC​   </t>
  </si>
  <si>
    <t>MARILYN LLC​ BUSINESS ENTITY REPORT PAST DUE</t>
  </si>
  <si>
    <t>MARILYN LLC​ YOUR BUSINESS HAS BEEN ADMINISTRATIVELY DISSOLVED.</t>
  </si>
  <si>
    <t>MARILYN LLC​ YOUR BUSINESS IS PENDING ADMINISTRATIVE DISSOLUTION</t>
  </si>
  <si>
    <t>MARITZA ARELI GUEVARA ABARCA LLC​ YOUR BUSINESS HAS BEEN ADMINISTRATIVELY DISSOLVED.</t>
  </si>
  <si>
    <t xml:space="preserve">MECHANIC AUTO MOTORS LLC​ </t>
  </si>
  <si>
    <t>MECHANIC AUTO MOTORS LLC​ BUSINESS ENTITY REPORT DUE</t>
  </si>
  <si>
    <t xml:space="preserve">MENDEZ BUTTERFLIES LLC​  </t>
  </si>
  <si>
    <t>MENDEZ BUTTERFLIES LLC​ YOUR BUSINESS HAS BEEN ADMINISTRATIVELY DISSOLVED.</t>
  </si>
  <si>
    <t>MENDOZAA LLC​ BUSINESS ENTITY REPORT DUE</t>
  </si>
  <si>
    <t>MILTON A GARCIA SALGUERO LLC​</t>
  </si>
  <si>
    <t>MILTON A GARCIA SALGUERO LLC​ YOUR BUSINESS HAS BEEN ADMINISTRATIVELY DISSOLVED.</t>
  </si>
  <si>
    <t>MILTON A GARCIA SALGUERO LLC​ YOUR BUSINESS IS PENDING ADMINISTRATIVE DISSOLUTION</t>
  </si>
  <si>
    <t xml:space="preserve">MOLINA HOLDINGS LLC​  </t>
  </si>
  <si>
    <t>MOLINA HOLDINGS LLC​ YOUR BUSINESS HAS BEEN ADMINISTRATIVELY DISSOLVED.</t>
  </si>
  <si>
    <t xml:space="preserve">MONTANA CONSTRUCTION LLC​     </t>
  </si>
  <si>
    <t>MONTANA CONSTRUCTION LLC​ BUSINESS ENTITY REPORT PAST DUE</t>
  </si>
  <si>
    <t>MONTANA CONSTRUCTION LLC​ YOUR BUSINESS IS PENDING ADMINISTRATIVE DISSOLUTION</t>
  </si>
  <si>
    <t xml:space="preserve">MORALES ROOFING L.L.C.​  </t>
  </si>
  <si>
    <t>MORALES ROOFING L.L.C.​ YOUR BUSINESS HAS BEEN ADMINISTRATIVELY DISSOLVED.</t>
  </si>
  <si>
    <t xml:space="preserve">My Alerts   </t>
  </si>
  <si>
    <t xml:space="preserve">My Alerts      </t>
  </si>
  <si>
    <t>My Alerts My Alerts   HELP LINE: (317) 234-9768</t>
  </si>
  <si>
    <t>My Alerts   HELP LINE: (317) 234-9768 Business</t>
  </si>
  <si>
    <t>My Alerts   HELP LINE: -317</t>
  </si>
  <si>
    <t xml:space="preserve">MY ANIME COLLECTION 317 LLC​   </t>
  </si>
  <si>
    <t>MY ANIME COLLECTION 317 LLC​ BUSINESS ENTITY REPORT DUE</t>
  </si>
  <si>
    <t>Next &gt;</t>
  </si>
  <si>
    <t xml:space="preserve">Next &gt; </t>
  </si>
  <si>
    <t>Next &gt; My Alerts</t>
  </si>
  <si>
    <t xml:space="preserve">OBIDIO ENRIQUE ORELLANA PAJARES LLC​   </t>
  </si>
  <si>
    <t>OBIDIO ENRIQUE ORELLANA PAJARES LLC​ YOUR BUSINESS HAS BEEN ADMINISTRATIVELY DISSOLVED.</t>
  </si>
  <si>
    <t>OBIDIO ENRIQUE ORELLANA PAJARES LLC​ YOUR BUSINESS IS PENDING ADMINISTRATIVE DISSOLUTION</t>
  </si>
  <si>
    <t>OSMAN JOSUE CHACON LLC​ BUSINESS ENTITY REPORT DUE</t>
  </si>
  <si>
    <t xml:space="preserve">P &amp; H PAINTING AND REMODELING LLC​ </t>
  </si>
  <si>
    <t>P &amp; H PAINTING AND REMODELING LLC​ YOUR BUSINESS HAS BEEN ADMINISTRATIVELY DISSOLVED.</t>
  </si>
  <si>
    <t>P &amp; H PAINTING AND REMODELING LLC​ YOUR BUSINESS IS PENDING ADMINISTRATIVE DISSOLUTION</t>
  </si>
  <si>
    <t>R M R REMODELING LLC​</t>
  </si>
  <si>
    <t>R M R REMODELING LLC​ BUSINESS ENTITY REPORT DUE</t>
  </si>
  <si>
    <t>R M R REMODELING LLC​ BUSINESS ENTITY REPORT PAST DUE</t>
  </si>
  <si>
    <t>R M R REMODELING LLC​ YOUR BUSINESS HAS BEEN ADMINISTRATIVELY DISSOLVED.</t>
  </si>
  <si>
    <t>R M R REMODELING LLC​ YOUR BUSINESS IS PENDING ADMINISTRATIVE DISSOLUTION</t>
  </si>
  <si>
    <t>RAUL'S CONSTRUCTION LLC​ BUSINESS ENTITY REPORT DUE</t>
  </si>
  <si>
    <t>RODRIGUEZ TOBAR AUTO SALES LLC​</t>
  </si>
  <si>
    <t>RODRIGUEZ TOBAR AUTO SALES LLC​ BUSINESS ENTITY REPORT DUE</t>
  </si>
  <si>
    <t>RODRIGUEZ TOBAR AUTO SALES LLC​ BUSINESS ENTITY REPORT PAST DUE</t>
  </si>
  <si>
    <t>RODRIGUEZ TOBAR AUTO SALES LLC​ YOUR BUSINESS IS PENDING ADMINISTRATIVE DISSOLUTION</t>
  </si>
  <si>
    <t>ROLANDO JOSE ZELEDON BACA LLC​</t>
  </si>
  <si>
    <t xml:space="preserve">ROLANDO JOSE ZELEDON BACA LLC​   </t>
  </si>
  <si>
    <t>ROLANDO JOSE ZELEDON BACA LLC​ BUSINESS ENTITY REPORT DUE</t>
  </si>
  <si>
    <t>ROLANDO JOSE ZELEDON BACA LLC​ BUSINESS ENTITY REPORT PAST DUE</t>
  </si>
  <si>
    <t>ROLANDO JOSE ZELEDON BACA LLC​ YOUR BUSINESS IS PENDING ADMINISTRATIVE DISSOLUTION</t>
  </si>
  <si>
    <t xml:space="preserve">RONY ALVARADO LOPEZ LLC​ </t>
  </si>
  <si>
    <t>RONY ALVARADO LOPEZ LLC​ BUSINESS ENTITY REPORT DUE</t>
  </si>
  <si>
    <t xml:space="preserve">SANDOVAL CONCRETE LLC ​  </t>
  </si>
  <si>
    <t>SANDOVAL CONCRETE LLC ​ BUSINESS ENTITY REPORT DUE</t>
  </si>
  <si>
    <t>SANDOVAL CONCRETE LLC ​ BUSINESS ENTITY REPORT PAST DUE</t>
  </si>
  <si>
    <t xml:space="preserve">SUN-RAY FOUNDATION REPAIR LLC​ </t>
  </si>
  <si>
    <t>SUN-RAY FOUNDATION REPAIR LLC​ BUSINESS ENTITY REPORT DUE</t>
  </si>
  <si>
    <t>SUPER MERCADO LA PLAZA CORPORATION​</t>
  </si>
  <si>
    <t xml:space="preserve">SUPER MERCADO LA PLAZA CORPORATION​   </t>
  </si>
  <si>
    <t>SUPER MERCADO LA PLAZA CORPORATION​ BUSINESS ENTITY REPORT DUE</t>
  </si>
  <si>
    <t>SUPER MERCADO LA PLAZA CORPORATION​ BUSINESS ENTITY REPORT PAST DUE</t>
  </si>
  <si>
    <t>TACO &amp; BEER FEST​ IT’S TIME TO RENEW YOUR MARK</t>
  </si>
  <si>
    <t>TO INDY, WITH LOVE, LLC​</t>
  </si>
  <si>
    <t>TO INDY, WITH LOVE, LLC​ BUSINESS ENTITY REPORT DUE</t>
  </si>
  <si>
    <t xml:space="preserve">VEGA'S LAWNCARE LANDSCAPING LLC​ </t>
  </si>
  <si>
    <t>VEGA'S LAWNCARE LANDSCAPING LLC​ BUSINESS ENTITY REPORT DUE</t>
  </si>
  <si>
    <t>VEGA'S LAWNCARE LANDSCAPING LLC​ BUSINESS ENTITY REPORT PAST DUE</t>
  </si>
  <si>
    <t>VEGA'S LAWNCARE LANDSCAPING LLC​ YOUR BUSINESS IS PENDING ADMINISTRATIVE DISSOLUTION</t>
  </si>
  <si>
    <t xml:space="preserve">WM TRANSPORT LLC ​  </t>
  </si>
  <si>
    <t xml:space="preserve">WM TRANSPORT LLC ​     </t>
  </si>
  <si>
    <t>WM TRANSPORT LLC ​ BUSINESS ENTITY REPORT DUE</t>
  </si>
  <si>
    <t>WM TRANSPORT LLC ​ BUSINESS ENTITY REPORT PAST DUE</t>
  </si>
  <si>
    <t>WM TRANSPORT LLC ​ YOUR BUSINESS IS PENDING ADMINISTRATIVE DISSOLUTION</t>
  </si>
  <si>
    <t>CLIENT NAME</t>
  </si>
  <si>
    <t>DATES</t>
  </si>
  <si>
    <t>Business Entity Report Due</t>
  </si>
  <si>
    <t>Business Entity Report Past Due</t>
  </si>
  <si>
    <t>Your business has been administrativly dissolved</t>
  </si>
  <si>
    <t>8/5/2024 18:36
10/5/2024 23:36
11/5/2024 20:48
7/5/2024 18:53</t>
  </si>
  <si>
    <t>Business Name</t>
  </si>
  <si>
    <t>ADDRESS LINE 1</t>
  </si>
  <si>
    <t>ADDRESS LINE 2</t>
  </si>
  <si>
    <t>CITY</t>
  </si>
  <si>
    <t>STATE</t>
  </si>
  <si>
    <t>ZIP CODE</t>
  </si>
  <si>
    <t>COUNTRY</t>
  </si>
  <si>
    <t xml:space="preserve">3 Guys Construction LLC  </t>
  </si>
  <si>
    <t>1343 N LASALLE ST.</t>
  </si>
  <si>
    <t xml:space="preserve"> INDIANAPOLIS</t>
  </si>
  <si>
    <t xml:space="preserve"> IN</t>
  </si>
  <si>
    <t xml:space="preserve"> UNITED STATES</t>
  </si>
  <si>
    <t xml:space="preserve">360 PROPERTY SOLUTIONS LLC  </t>
  </si>
  <si>
    <t>7944 RIDGEGATE WEST DRIVE</t>
  </si>
  <si>
    <t xml:space="preserve">503 TRANSPORT LLC  </t>
  </si>
  <si>
    <t>7439 HIGDON CT</t>
  </si>
  <si>
    <t xml:space="preserve">800SEGURO LLC  </t>
  </si>
  <si>
    <t>7821 TANZA ROAD</t>
  </si>
  <si>
    <t xml:space="preserve"> A</t>
  </si>
  <si>
    <t xml:space="preserve">A &amp; A HISPANIC MULTISERVICE LLC  </t>
  </si>
  <si>
    <t>3718 N MITTHOEFER RD</t>
  </si>
  <si>
    <t xml:space="preserve">A PLUS REMODELING LLC  </t>
  </si>
  <si>
    <t>2151 WEBB ST</t>
  </si>
  <si>
    <t xml:space="preserve">A RODRIGUEZ LLC  </t>
  </si>
  <si>
    <t>62 N PERSHING AVE</t>
  </si>
  <si>
    <t xml:space="preserve">ADAN ESTUARDO LOPEZ PEREZ LLC  </t>
  </si>
  <si>
    <t>9715 CHIVALRY COURT</t>
  </si>
  <si>
    <t xml:space="preserve">AE STAFFING &amp; SOLUTIONS LLC  </t>
  </si>
  <si>
    <t>8005 E 42ND ST</t>
  </si>
  <si>
    <t xml:space="preserve"> 46226 - 5360</t>
  </si>
  <si>
    <t xml:space="preserve">AG &amp; S PROFESSIONAL SERVICES LLC  </t>
  </si>
  <si>
    <t>4237 BARI COURT</t>
  </si>
  <si>
    <t xml:space="preserve">Aguacates Alvarez LLC  </t>
  </si>
  <si>
    <t>170 DALE ST.</t>
  </si>
  <si>
    <t xml:space="preserve"> MITCHELL</t>
  </si>
  <si>
    <t xml:space="preserve">AIDE MANICA GOMEZ LLC  </t>
  </si>
  <si>
    <t>3585 COMMERCIAL DR LOT 710</t>
  </si>
  <si>
    <t xml:space="preserve">Al S Auto Detail LLC  </t>
  </si>
  <si>
    <t>2850 E COUNTY ROAD 875 S</t>
  </si>
  <si>
    <t xml:space="preserve"> MOORESVILLE</t>
  </si>
  <si>
    <t xml:space="preserve">ALEJANDRO BARRAGAN GARCIA LLC  </t>
  </si>
  <si>
    <t>2067 EGRET CT</t>
  </si>
  <si>
    <t xml:space="preserve"> C</t>
  </si>
  <si>
    <t xml:space="preserve">ALFONSO RODRIGUEZ VALVERDE LLC  </t>
  </si>
  <si>
    <t>3137 MELBOURNE RD S DR.</t>
  </si>
  <si>
    <t xml:space="preserve">ALFREDO SUAREZ NICOLAS LLC  </t>
  </si>
  <si>
    <t>4523 CALHOUN ST</t>
  </si>
  <si>
    <t xml:space="preserve">ALL EVENT BANQUET LLC  </t>
  </si>
  <si>
    <t>3717 COMMERCIAL DR</t>
  </si>
  <si>
    <t xml:space="preserve"> 46222 - 1676</t>
  </si>
  <si>
    <t xml:space="preserve">ANA E CLAVEL MOLINA LLC  </t>
  </si>
  <si>
    <t>1709 MILLER ST</t>
  </si>
  <si>
    <t xml:space="preserve">ANAS BARBERSHOP LLC  </t>
  </si>
  <si>
    <t>1114 N KEALING AVE</t>
  </si>
  <si>
    <t xml:space="preserve">Andersson Alexander Rivera Cruz LLC  </t>
  </si>
  <si>
    <t>7287 CHINOOK CIRCLE</t>
  </si>
  <si>
    <t xml:space="preserve"> LOT 95</t>
  </si>
  <si>
    <t xml:space="preserve">Angel Ramirez Alcocer LLC  </t>
  </si>
  <si>
    <t>5821 BYWOOD</t>
  </si>
  <si>
    <t xml:space="preserve">Antonio Pena Hernandez LLC  </t>
  </si>
  <si>
    <t>2109 KESSLER BLVD NORTH DR</t>
  </si>
  <si>
    <t xml:space="preserve">Antonio Quinillo LLC  </t>
  </si>
  <si>
    <t xml:space="preserve">5216 BILL DR </t>
  </si>
  <si>
    <t xml:space="preserve">ARTREVE LLC  </t>
  </si>
  <si>
    <t>4817 SHADOW POINTE DRIVE</t>
  </si>
  <si>
    <t xml:space="preserve">AZURE PALMS LLC  </t>
  </si>
  <si>
    <t>9555 INTERNATIONAL CIRCLE</t>
  </si>
  <si>
    <t xml:space="preserve">BARAHONA TECHNICAL SERVICE LLC  </t>
  </si>
  <si>
    <t>5101 PLAINFIELD AVE</t>
  </si>
  <si>
    <t xml:space="preserve">BELLISIMO D &amp; A LLC  </t>
  </si>
  <si>
    <t xml:space="preserve">7480 MICHIGAN RD </t>
  </si>
  <si>
    <t xml:space="preserve"> STE C </t>
  </si>
  <si>
    <t xml:space="preserve">Bernard G LLC  </t>
  </si>
  <si>
    <t>9353 BARCROFT DR APT C</t>
  </si>
  <si>
    <t xml:space="preserve">BERNARDO HERNANDEZ CORONA LLC  </t>
  </si>
  <si>
    <t>3375 WATERGATE CT</t>
  </si>
  <si>
    <t xml:space="preserve">BETTY BLUE HAIR LLC  </t>
  </si>
  <si>
    <t>3601 N GLEN ARM RD APT C</t>
  </si>
  <si>
    <t xml:space="preserve">BLESS ME LLC  </t>
  </si>
  <si>
    <t xml:space="preserve">1134 N BELLEVIEW PL </t>
  </si>
  <si>
    <t xml:space="preserve">BOSS WINDOW TINTING LLC  </t>
  </si>
  <si>
    <t>7355 BIMINI LN</t>
  </si>
  <si>
    <t xml:space="preserve"> APT D</t>
  </si>
  <si>
    <t xml:space="preserve">BOXTOPIA WHOLESALE SUPPLIES LLC  </t>
  </si>
  <si>
    <t>1923 MADISON CT</t>
  </si>
  <si>
    <t xml:space="preserve"> APT B</t>
  </si>
  <si>
    <t xml:space="preserve"> CARMEL</t>
  </si>
  <si>
    <t xml:space="preserve"> 46032 - 2954</t>
  </si>
  <si>
    <t xml:space="preserve">Brenda V Mendez Hernandez LLC  </t>
  </si>
  <si>
    <t>13500 N US HWY 31 LOT 82</t>
  </si>
  <si>
    <t xml:space="preserve"> EDINBURGH</t>
  </si>
  <si>
    <t xml:space="preserve">BROLY GAMES AND TOYS, LLC  </t>
  </si>
  <si>
    <t>3420 PATTON DR.</t>
  </si>
  <si>
    <t xml:space="preserve">CANVAS MARKETING LLC  </t>
  </si>
  <si>
    <t>3585 COMMERCIAL DRIVE</t>
  </si>
  <si>
    <t xml:space="preserve">Carlos Alberto Ortiz Andrade LLC  </t>
  </si>
  <si>
    <t>3548 DUKANE WAY</t>
  </si>
  <si>
    <t xml:space="preserve">CARLOS DANIEL LLC  </t>
  </si>
  <si>
    <t>9364 RACQUET CLUB N DR APT B</t>
  </si>
  <si>
    <t xml:space="preserve">CASTANEDA FLOORING LLC  </t>
  </si>
  <si>
    <t>5201 PATRICIA ST</t>
  </si>
  <si>
    <t xml:space="preserve">Chiroy Enterprises HVAC LLC  </t>
  </si>
  <si>
    <t>1401 WADE ST</t>
  </si>
  <si>
    <t xml:space="preserve">CIRINO ZAPATA LLC  </t>
  </si>
  <si>
    <t>403 HAUGH ST</t>
  </si>
  <si>
    <t xml:space="preserve">CJ RICE &amp; COMPANIES LLC  </t>
  </si>
  <si>
    <t>4817 SHADOW POINTE DR</t>
  </si>
  <si>
    <t xml:space="preserve"> 46254 - 3744</t>
  </si>
  <si>
    <t xml:space="preserve">Cleaning Services Gen LLC  </t>
  </si>
  <si>
    <t>4202 MAJESTIC LANE</t>
  </si>
  <si>
    <t xml:space="preserve"> APT H</t>
  </si>
  <si>
    <t xml:space="preserve">COCO BONGOS INDY LLC  </t>
  </si>
  <si>
    <t>2435 CARDINAL DR</t>
  </si>
  <si>
    <t xml:space="preserve"> 46227 - 4926</t>
  </si>
  <si>
    <t xml:space="preserve">CollectToys LLC  </t>
  </si>
  <si>
    <t xml:space="preserve">Coranguez LLC  </t>
  </si>
  <si>
    <t xml:space="preserve">7921 N. ST RD 9 </t>
  </si>
  <si>
    <t xml:space="preserve"> FORTVILLE</t>
  </si>
  <si>
    <t xml:space="preserve">CR MASONRY LLC  </t>
  </si>
  <si>
    <t>2225 S MERIDIAN ST</t>
  </si>
  <si>
    <t xml:space="preserve">CREATED BY JAYSON LLC  </t>
  </si>
  <si>
    <t>1939 W COIL ST.</t>
  </si>
  <si>
    <t xml:space="preserve">Created by Jr Picos LLC  </t>
  </si>
  <si>
    <t>3516 ROUND ROCK CIRCLE</t>
  </si>
  <si>
    <t xml:space="preserve"> LAFAYETTE</t>
  </si>
  <si>
    <t xml:space="preserve">CRUZ COMPUTER REPAIR LLC  </t>
  </si>
  <si>
    <t>3409 WOODFRONT DR</t>
  </si>
  <si>
    <t xml:space="preserve">D &amp; G GROUP LLC  </t>
  </si>
  <si>
    <t xml:space="preserve">1671 E FORK DR </t>
  </si>
  <si>
    <t xml:space="preserve"> BROWNSBURG</t>
  </si>
  <si>
    <t xml:space="preserve">D &amp; G SUPREME GUTTERS LLC  </t>
  </si>
  <si>
    <t xml:space="preserve">7816 IVYDALE DRIVE </t>
  </si>
  <si>
    <t xml:space="preserve"> APT A</t>
  </si>
  <si>
    <t xml:space="preserve">D ANGELES AUTO SERVICES LLC  </t>
  </si>
  <si>
    <t>1905 S 4TH ST</t>
  </si>
  <si>
    <t xml:space="preserve"> STE B</t>
  </si>
  <si>
    <t xml:space="preserve">DANIELS LANDSCAPING LLC  </t>
  </si>
  <si>
    <t>8919 ROY RD.</t>
  </si>
  <si>
    <t xml:space="preserve">DAVID TECAXCO LLC  </t>
  </si>
  <si>
    <t>2709 COREY DR</t>
  </si>
  <si>
    <t xml:space="preserve">DAVIDS TIRE SHOP LLC  </t>
  </si>
  <si>
    <t>3760 COMMERCIAL DR</t>
  </si>
  <si>
    <t xml:space="preserve"> 46222 - 1677</t>
  </si>
  <si>
    <t>4250 W 38TH ST</t>
  </si>
  <si>
    <t xml:space="preserve"> 46254 - 3308</t>
  </si>
  <si>
    <t xml:space="preserve">DELREAL DEAL LIQUIDATORS LLC  </t>
  </si>
  <si>
    <t>3919 LAFAYETTE RD</t>
  </si>
  <si>
    <t xml:space="preserve"> SUITE 244</t>
  </si>
  <si>
    <t xml:space="preserve">DIEGO DIAZ PEREZ LLC  </t>
  </si>
  <si>
    <t>349 S RURAL ST</t>
  </si>
  <si>
    <t xml:space="preserve">DINORA C REYES LLC  </t>
  </si>
  <si>
    <t>3331 W 33RD PL</t>
  </si>
  <si>
    <t xml:space="preserve"> D</t>
  </si>
  <si>
    <t xml:space="preserve">DOMINGO MARQUIN-MENDOZA LLC  </t>
  </si>
  <si>
    <t xml:space="preserve">1929 HOWARD ST </t>
  </si>
  <si>
    <t xml:space="preserve">DULCE’S AROMATHERAPY CO  </t>
  </si>
  <si>
    <t>3585 COMMERCIAL DR BOOTH #633</t>
  </si>
  <si>
    <t xml:space="preserve">DULCE'S AROMATHERAPY &amp; PRODUCTS, LLC  </t>
  </si>
  <si>
    <t>3585 COMMERCIAL DRIVE STE 830</t>
  </si>
  <si>
    <t xml:space="preserve">DUVIS REMODELING LLC  </t>
  </si>
  <si>
    <t>8821 BEL AIR DR</t>
  </si>
  <si>
    <t xml:space="preserve">E &amp; D FRAMING LLC  </t>
  </si>
  <si>
    <t>1335 E 96TH ST</t>
  </si>
  <si>
    <t xml:space="preserve">E &amp; M FINANCIAL SERVICES LLC  </t>
  </si>
  <si>
    <t xml:space="preserve">7067 N MICHIGAN RD </t>
  </si>
  <si>
    <t xml:space="preserve">EDI SANOTS CARRANZA SANCHEZ LLC  </t>
  </si>
  <si>
    <t>7076 PORTLAND SQ</t>
  </si>
  <si>
    <t xml:space="preserve">EDSON YAHIR BOGARIN DE LA CRUZ LLC  </t>
  </si>
  <si>
    <t>3226 FALCON DR</t>
  </si>
  <si>
    <t xml:space="preserve">EDWIN GALIDNO LLC  </t>
  </si>
  <si>
    <t>5030 ELLIOTT AVE.</t>
  </si>
  <si>
    <t xml:space="preserve">EICG LLC  </t>
  </si>
  <si>
    <t>8013 STONEHINGE CT N</t>
  </si>
  <si>
    <t xml:space="preserve"> APT 182</t>
  </si>
  <si>
    <t xml:space="preserve">El Amigo Chapin LLC  </t>
  </si>
  <si>
    <t>315 MILL STREET</t>
  </si>
  <si>
    <t xml:space="preserve"> SEYMOUR</t>
  </si>
  <si>
    <t xml:space="preserve">EL KIOSCO LLC  </t>
  </si>
  <si>
    <t>3585 COMMERCIAL DR</t>
  </si>
  <si>
    <t xml:space="preserve">ELECTRONICOS NACHITO LLC  </t>
  </si>
  <si>
    <t xml:space="preserve"> STE 218</t>
  </si>
  <si>
    <t xml:space="preserve"> 46222 - 1679</t>
  </si>
  <si>
    <t xml:space="preserve">ELECTRONICOS ORTIZ LLC  </t>
  </si>
  <si>
    <t>1411 ENGLISH AVE</t>
  </si>
  <si>
    <t xml:space="preserve"> </t>
  </si>
  <si>
    <t xml:space="preserve">ELLI STUDIO LLC  </t>
  </si>
  <si>
    <t>3241 MILAN ST.</t>
  </si>
  <si>
    <t xml:space="preserve">ESMERALDA LISSETTE GUERRA RODRIGUEZ LLC  </t>
  </si>
  <si>
    <t>3654 N GLEN ARM RD</t>
  </si>
  <si>
    <t xml:space="preserve">Espana Construction LLC  </t>
  </si>
  <si>
    <t>3238 NORWICH LANE</t>
  </si>
  <si>
    <t xml:space="preserve">ESTATE REAL CORP  </t>
  </si>
  <si>
    <t>13497 ALLEGIANCE DR.</t>
  </si>
  <si>
    <t xml:space="preserve"> FISHERS</t>
  </si>
  <si>
    <t xml:space="preserve">EVELYN YESENIA LLC  </t>
  </si>
  <si>
    <t xml:space="preserve">1015 WALDEMERE AVE. </t>
  </si>
  <si>
    <t xml:space="preserve">FASHION FLIP LLC  </t>
  </si>
  <si>
    <t>3047 SKYLAR LN</t>
  </si>
  <si>
    <t xml:space="preserve"> 46208 - 5078</t>
  </si>
  <si>
    <t xml:space="preserve">FELICITAS HERNANDEZ LLC  </t>
  </si>
  <si>
    <t>4446 W. 34TH ST</t>
  </si>
  <si>
    <t xml:space="preserve">FELIPE D VELIZ TURCIOS LLC  </t>
  </si>
  <si>
    <t xml:space="preserve">9328 RACQUETBALL DR APT C </t>
  </si>
  <si>
    <t xml:space="preserve">FELIX EL BARATILLO LLC  </t>
  </si>
  <si>
    <t>583 TIMELESS RUN</t>
  </si>
  <si>
    <t xml:space="preserve"> GREENWOOD</t>
  </si>
  <si>
    <t xml:space="preserve"> 46143 - 6591</t>
  </si>
  <si>
    <t xml:space="preserve">FELIX GONZALEZ ORTIZ LLC  </t>
  </si>
  <si>
    <t>950 N TREMONT ST</t>
  </si>
  <si>
    <t xml:space="preserve">FPS LLP  </t>
  </si>
  <si>
    <t>12031 LINNET PL</t>
  </si>
  <si>
    <t xml:space="preserve"> NOBLESVILLE</t>
  </si>
  <si>
    <t xml:space="preserve"> 46060 - 5021</t>
  </si>
  <si>
    <t xml:space="preserve">Francisco Garcia Fonseca LLC  </t>
  </si>
  <si>
    <t>611 GARDEN ST</t>
  </si>
  <si>
    <t xml:space="preserve"> TRLR #15</t>
  </si>
  <si>
    <t xml:space="preserve"> COLUMBUS</t>
  </si>
  <si>
    <t xml:space="preserve">FRANSAN DETAILING LLC  </t>
  </si>
  <si>
    <t>205 N BELLEVIEW PL</t>
  </si>
  <si>
    <t xml:space="preserve"> 46222 - 4147</t>
  </si>
  <si>
    <t xml:space="preserve">G&amp;R CARPENTER LLC  </t>
  </si>
  <si>
    <t>253 NORTH VAN BURAN ST.</t>
  </si>
  <si>
    <t xml:space="preserve"> FRANKFORT</t>
  </si>
  <si>
    <t xml:space="preserve">Gabriel Trujillo Tamariz LLC  </t>
  </si>
  <si>
    <t xml:space="preserve">GAMA'S ROOFING &amp; REMODELING LLC  </t>
  </si>
  <si>
    <t xml:space="preserve">732 JEWELL ST </t>
  </si>
  <si>
    <t xml:space="preserve"> COLUMBUS </t>
  </si>
  <si>
    <t xml:space="preserve">Garcia Cleaning Services LLC  </t>
  </si>
  <si>
    <t xml:space="preserve">GARCIA PAINTING PRO LLC  </t>
  </si>
  <si>
    <t>2635 SHIRLEY DR</t>
  </si>
  <si>
    <t xml:space="preserve">GENERAL CONSTRUCTION GROUP LLC  </t>
  </si>
  <si>
    <t>768 CARLYLE PL</t>
  </si>
  <si>
    <t xml:space="preserve">GENERAL REMODELING BARAJAS LLC  </t>
  </si>
  <si>
    <t>2504 BROOKSIDE AVE</t>
  </si>
  <si>
    <t xml:space="preserve">GENERAL.CONSTRUCTION GROUP LLC  </t>
  </si>
  <si>
    <t xml:space="preserve">GLADIOLA LLC  </t>
  </si>
  <si>
    <t>2409 RALEIGH BLVD</t>
  </si>
  <si>
    <t xml:space="preserve"> SHELBYVILLE</t>
  </si>
  <si>
    <t xml:space="preserve">Glamour Touch LLC  </t>
  </si>
  <si>
    <t>8517 SANSA ST.</t>
  </si>
  <si>
    <t xml:space="preserve"> CAMBY</t>
  </si>
  <si>
    <t xml:space="preserve">Golosinas La Jarocha LLC  </t>
  </si>
  <si>
    <t>2767 S DELAWARE ST</t>
  </si>
  <si>
    <t xml:space="preserve">H&amp;M Solutions LLC  </t>
  </si>
  <si>
    <t>4323 MAJESTIC LN</t>
  </si>
  <si>
    <t xml:space="preserve"> K</t>
  </si>
  <si>
    <t xml:space="preserve">HERUVIEL MORALES LLC  </t>
  </si>
  <si>
    <t>3246 WELLER DR</t>
  </si>
  <si>
    <t xml:space="preserve">IDM MEDIA GROUP LTD.  </t>
  </si>
  <si>
    <t xml:space="preserve">IFIX REPAIR CENTER &amp; VAPE SHOP LLC  </t>
  </si>
  <si>
    <t>9988 E WASHINGTON ST</t>
  </si>
  <si>
    <t xml:space="preserve"> 46229 - 3040</t>
  </si>
  <si>
    <t xml:space="preserve">IK Roofing LLC  </t>
  </si>
  <si>
    <t>3149 N FULLER DRIVE</t>
  </si>
  <si>
    <t xml:space="preserve">ILCM PAINTING CLEANING &amp; REMODELING LLC  </t>
  </si>
  <si>
    <t>3320 W 33RD ST</t>
  </si>
  <si>
    <t xml:space="preserve"> B</t>
  </si>
  <si>
    <t xml:space="preserve">Indy Commercial Roofing LLC  </t>
  </si>
  <si>
    <t xml:space="preserve">INDY FUDS LLC  </t>
  </si>
  <si>
    <t>10843 LANTERN VIEW DR</t>
  </si>
  <si>
    <t xml:space="preserve"> APT 103</t>
  </si>
  <si>
    <t xml:space="preserve"> 46038 - 4209</t>
  </si>
  <si>
    <t xml:space="preserve">INDY TAPING AND DRYWALL LLC  </t>
  </si>
  <si>
    <t>519 N MORELAND AVE</t>
  </si>
  <si>
    <t xml:space="preserve">Innova Floors LLC  </t>
  </si>
  <si>
    <t>5855 SAN CLEMENTE LN</t>
  </si>
  <si>
    <t xml:space="preserve">INNOVA HIRE LLC  </t>
  </si>
  <si>
    <t>7305 NANTUCKET COURT</t>
  </si>
  <si>
    <t xml:space="preserve"> 2C</t>
  </si>
  <si>
    <t xml:space="preserve">INNOVAFLOW SOLUTIONS LLC  </t>
  </si>
  <si>
    <t>119 S WESTERN AVE</t>
  </si>
  <si>
    <t xml:space="preserve"> UNIT 1</t>
  </si>
  <si>
    <t xml:space="preserve"> CHICAGO</t>
  </si>
  <si>
    <t xml:space="preserve"> IL</t>
  </si>
  <si>
    <t xml:space="preserve">ISABEL S AVILA LLC  </t>
  </si>
  <si>
    <t>4235 CARSON LN</t>
  </si>
  <si>
    <t xml:space="preserve">Isael Construction, LLC  </t>
  </si>
  <si>
    <t>2924 SOUTH FLEMING ST</t>
  </si>
  <si>
    <t xml:space="preserve">Isaura Construction LLC  </t>
  </si>
  <si>
    <t xml:space="preserve">2067 EGRET CT APT C </t>
  </si>
  <si>
    <t xml:space="preserve">IVIS HUMBERTO MEJIA AGUILAR LLC  </t>
  </si>
  <si>
    <t>5217 WOODBROOK DR</t>
  </si>
  <si>
    <t xml:space="preserve">J &amp; R TORRES CONSTRUCTION LLC  </t>
  </si>
  <si>
    <t>3049 BEELER AVE</t>
  </si>
  <si>
    <t xml:space="preserve">JAENSOMAR HANDYMAN LLC  </t>
  </si>
  <si>
    <t>1205 ARCHWAY DRIVE</t>
  </si>
  <si>
    <t xml:space="preserve">JAUREGUI BARAJAS BRAULIO LLC  </t>
  </si>
  <si>
    <t>3466 GEORGETOWN RD</t>
  </si>
  <si>
    <t xml:space="preserve">Javier A Ocon Siles LLC  </t>
  </si>
  <si>
    <t>5308 W 22 ST</t>
  </si>
  <si>
    <t xml:space="preserve">Javier Jimenez Onofre LLC  </t>
  </si>
  <si>
    <t>2441 S RYBOLT AVE</t>
  </si>
  <si>
    <t xml:space="preserve">JAZMIN FASHION LLC  </t>
  </si>
  <si>
    <t xml:space="preserve"> BOOTH 827</t>
  </si>
  <si>
    <t xml:space="preserve">JB Construction LLP  </t>
  </si>
  <si>
    <t>1335 E 96TH ST.</t>
  </si>
  <si>
    <t xml:space="preserve">JCM REMODELING LLC  </t>
  </si>
  <si>
    <t>3432 ELLEN DR.</t>
  </si>
  <si>
    <t xml:space="preserve">JESSI'S ACCESORIES LLC  </t>
  </si>
  <si>
    <t>2725 FALCON DR</t>
  </si>
  <si>
    <t xml:space="preserve">JMC CONTRACTORS LLC  </t>
  </si>
  <si>
    <t>5410 BURGESS AVE.</t>
  </si>
  <si>
    <t xml:space="preserve">JMG PAINTING AND CONSTRUCTION LLC  </t>
  </si>
  <si>
    <t>5323 W 53RD ST</t>
  </si>
  <si>
    <t xml:space="preserve">JORGE OSORINIO LLC  </t>
  </si>
  <si>
    <t>4458 ARISTOCRAT LN</t>
  </si>
  <si>
    <t xml:space="preserve">Jose Bernabe Badillo Fuentes LLC  </t>
  </si>
  <si>
    <t>4725 W 52ND ST.</t>
  </si>
  <si>
    <t xml:space="preserve">Jose Luis Reyes Salazar LLC  </t>
  </si>
  <si>
    <t>9998 DIANE WEST DR</t>
  </si>
  <si>
    <t xml:space="preserve">JOSE LUIS REYES SALZAR LLC  </t>
  </si>
  <si>
    <t>2220 TYLER DR</t>
  </si>
  <si>
    <t xml:space="preserve">Jose Mateo Miguel Baltazar LLC  </t>
  </si>
  <si>
    <t xml:space="preserve">JOSEFA HERNANDEZ VERA LLC  </t>
  </si>
  <si>
    <t>1306 W WALNUT ST</t>
  </si>
  <si>
    <t xml:space="preserve"> WASHINGTON</t>
  </si>
  <si>
    <t xml:space="preserve">JOYERIA ESMERALDA LLC  </t>
  </si>
  <si>
    <t>2831 EMBASSY ROW APT 907</t>
  </si>
  <si>
    <t xml:space="preserve">JOYERIA PANDORA LLC  </t>
  </si>
  <si>
    <t>3585 COMMERCIAL DR STE 100</t>
  </si>
  <si>
    <t xml:space="preserve"> STE 100</t>
  </si>
  <si>
    <t xml:space="preserve">JOYERIA REYNA LLC  </t>
  </si>
  <si>
    <t>548 N. BELMONT AVE</t>
  </si>
  <si>
    <t xml:space="preserve">Juan Antonio Construction LLC  </t>
  </si>
  <si>
    <t>3060 EAGLEDALE DR</t>
  </si>
  <si>
    <t xml:space="preserve">Juan Carlos Mejia Villalobos LLC  </t>
  </si>
  <si>
    <t>6535 CROSS KEY DR</t>
  </si>
  <si>
    <t xml:space="preserve">JUAN GARCIA DURAN LLC  </t>
  </si>
  <si>
    <t>6200 BROOKVILLE RD</t>
  </si>
  <si>
    <t xml:space="preserve"> LOT 196</t>
  </si>
  <si>
    <t xml:space="preserve">Justo Rogelio Fuentes Morales LLC  </t>
  </si>
  <si>
    <t>4725 MADISON AVE</t>
  </si>
  <si>
    <t xml:space="preserve">Kathy's Rides LLC  </t>
  </si>
  <si>
    <t>3002 W. 16TH ST APT A</t>
  </si>
  <si>
    <t xml:space="preserve">KEVIN ALONSO VARGAS LLC  </t>
  </si>
  <si>
    <t>4727 E 33 ST</t>
  </si>
  <si>
    <t xml:space="preserve">KONDOR HIGH PERFORMANCE LLC  </t>
  </si>
  <si>
    <t>2045 E MINNESOTA ST</t>
  </si>
  <si>
    <t xml:space="preserve">L&amp;C FLOORING LLC  </t>
  </si>
  <si>
    <t>420 S LYNHURST DR</t>
  </si>
  <si>
    <t xml:space="preserve">LA BOUTIQUE DE LAS JOYAS LLC  </t>
  </si>
  <si>
    <t xml:space="preserve"> STE 525</t>
  </si>
  <si>
    <t xml:space="preserve">La Burbuja LLC  </t>
  </si>
  <si>
    <t xml:space="preserve"> STE 830</t>
  </si>
  <si>
    <t xml:space="preserve">LA FIESTA BURRITO LLC,  </t>
  </si>
  <si>
    <t>2122 VETERANS MEMORIAL PKWY S. SUITE B</t>
  </si>
  <si>
    <t xml:space="preserve">LA FORTALEZA LLC  </t>
  </si>
  <si>
    <t>3585 COMMERCIAL DRIVE STE 404</t>
  </si>
  <si>
    <t xml:space="preserve">LA MIXTECA RESTAURANT INC  </t>
  </si>
  <si>
    <t>1802 GODER DR</t>
  </si>
  <si>
    <t xml:space="preserve">LALOS CLEANING PRODUCTS LLC  </t>
  </si>
  <si>
    <t xml:space="preserve">LARA LOPEZ LLC  </t>
  </si>
  <si>
    <t xml:space="preserve">2021 N DEARBORN ST </t>
  </si>
  <si>
    <t xml:space="preserve">LeMonique Beauty Salon LLC  </t>
  </si>
  <si>
    <t>2112 FAIR OAKS DR APT B</t>
  </si>
  <si>
    <t xml:space="preserve">LEOPOLDO E LIZARDO LLC  </t>
  </si>
  <si>
    <t xml:space="preserve">3530 MISSION DR </t>
  </si>
  <si>
    <t xml:space="preserve">Libeth Lopez Miranda LLC  </t>
  </si>
  <si>
    <t>3411 ASHLEY LANE APT A</t>
  </si>
  <si>
    <t xml:space="preserve">LMW Painting LLC  </t>
  </si>
  <si>
    <t>2902 DONNA BELL DR</t>
  </si>
  <si>
    <t xml:space="preserve">LORENA L LAZO MENDEZ LLC  </t>
  </si>
  <si>
    <t>6416 WHITEHAVEN RD APT 1130</t>
  </si>
  <si>
    <t xml:space="preserve">Los Sabores de Andrea LLC  </t>
  </si>
  <si>
    <t>3140 CHRYSLER ST</t>
  </si>
  <si>
    <t xml:space="preserve">Luis Nicolas Felipe LLC  </t>
  </si>
  <si>
    <t>1040 KATHERINE CT</t>
  </si>
  <si>
    <t xml:space="preserve">M &amp; V INDY PHONE REPAIR, LLC  </t>
  </si>
  <si>
    <t xml:space="preserve">3585 COMMERCIAL DR </t>
  </si>
  <si>
    <t xml:space="preserve"> # 233</t>
  </si>
  <si>
    <t xml:space="preserve">Mabel Alvarez Rivera LLC  </t>
  </si>
  <si>
    <t>3448 W. 10TH ST.</t>
  </si>
  <si>
    <t xml:space="preserve">MALAGON'S LLC  </t>
  </si>
  <si>
    <t>3968 S. 1300 E</t>
  </si>
  <si>
    <t xml:space="preserve"> MACY</t>
  </si>
  <si>
    <t xml:space="preserve">MALDONADO LLC  </t>
  </si>
  <si>
    <t>1314 N GRANT AVE.</t>
  </si>
  <si>
    <t xml:space="preserve">Manuel Lopez Gonzalez LLC  </t>
  </si>
  <si>
    <t>2850 EMBASSY ROW</t>
  </si>
  <si>
    <t xml:space="preserve">MARIA A GONZALES LLC  </t>
  </si>
  <si>
    <t>60 PORT O CALL DR APT C</t>
  </si>
  <si>
    <t xml:space="preserve">MARIA SALGUERO SANTOS-MEJIA LLC  </t>
  </si>
  <si>
    <t>5316 W 36TH ST.</t>
  </si>
  <si>
    <t xml:space="preserve">MARILYN LLC  </t>
  </si>
  <si>
    <t>5640 W 38TH ST</t>
  </si>
  <si>
    <t xml:space="preserve">MARIN ENTERPRISE LLC  </t>
  </si>
  <si>
    <t>6292 N COUNTY ROAD 225 E</t>
  </si>
  <si>
    <t xml:space="preserve"> 47274 - 8539</t>
  </si>
  <si>
    <t xml:space="preserve">MARIO GUZMAN-PECINA LLC  </t>
  </si>
  <si>
    <t>9133 BREEN CT</t>
  </si>
  <si>
    <t xml:space="preserve">Maritza Areli Guevara Abarca LLC  </t>
  </si>
  <si>
    <t>945 KETCHAM ST.</t>
  </si>
  <si>
    <t xml:space="preserve">Martir Figueroa LLC  </t>
  </si>
  <si>
    <t xml:space="preserve">921 W 1ST ST </t>
  </si>
  <si>
    <t xml:space="preserve"> ANDERSON</t>
  </si>
  <si>
    <t xml:space="preserve">Marval's LLC  </t>
  </si>
  <si>
    <t>2725 EMBASSY ROW 423</t>
  </si>
  <si>
    <t xml:space="preserve">MARVIN A PINEDA LLC  </t>
  </si>
  <si>
    <t>5030 ELLIOT AVE</t>
  </si>
  <si>
    <t xml:space="preserve">Mechanic Auto Motors LLC  </t>
  </si>
  <si>
    <t>17367 CAYUGA DR</t>
  </si>
  <si>
    <t xml:space="preserve"> WESTFIELD</t>
  </si>
  <si>
    <t xml:space="preserve">MEGA BALEADAS INDY LLC  </t>
  </si>
  <si>
    <t>3432 ELLEN DR</t>
  </si>
  <si>
    <t xml:space="preserve"> 46224 - 1924</t>
  </si>
  <si>
    <t xml:space="preserve">Mendez Butterflies LLC  </t>
  </si>
  <si>
    <t>7208 KINGSWOOD CT</t>
  </si>
  <si>
    <t xml:space="preserve">Mendozaa LLC  </t>
  </si>
  <si>
    <t>8 BINGHAM COURT</t>
  </si>
  <si>
    <t xml:space="preserve">MERARYS BOUTIQUE LLC  </t>
  </si>
  <si>
    <t xml:space="preserve"> STE 705</t>
  </si>
  <si>
    <t xml:space="preserve">Milton A Garcia Salguero LLC  </t>
  </si>
  <si>
    <t>3541 N GLADSTONE AVE</t>
  </si>
  <si>
    <t xml:space="preserve">MK JESSIE LLC  </t>
  </si>
  <si>
    <t>903 1/2 S AUBURN ST</t>
  </si>
  <si>
    <t xml:space="preserve">Molina Holdings LLC  </t>
  </si>
  <si>
    <t>3876 AMARANTH CT.</t>
  </si>
  <si>
    <t xml:space="preserve">Montana Construction LLC  </t>
  </si>
  <si>
    <t>6336 AUTUM VALLEY TRACE</t>
  </si>
  <si>
    <t xml:space="preserve"> UTICA</t>
  </si>
  <si>
    <t xml:space="preserve"> KY</t>
  </si>
  <si>
    <t>UNITED STATES</t>
  </si>
  <si>
    <t xml:space="preserve">MORALES BROTHERS ROOFING LLC  </t>
  </si>
  <si>
    <t>2337 N CATHERWOOD AVE</t>
  </si>
  <si>
    <t xml:space="preserve">MORALES ROOFING L.L.C.  </t>
  </si>
  <si>
    <t>5410 NURGESS AVE</t>
  </si>
  <si>
    <t xml:space="preserve">MORELAND SERVICES LLC  </t>
  </si>
  <si>
    <t>5391 LONGWOODS CT.</t>
  </si>
  <si>
    <t xml:space="preserve">MUEBLERIA DULCE HOGAR LLC  </t>
  </si>
  <si>
    <t>1445 LINDEN WAY</t>
  </si>
  <si>
    <t xml:space="preserve"> 46234 - 9784</t>
  </si>
  <si>
    <t xml:space="preserve">MV COMPUTER GMZ LLC  </t>
  </si>
  <si>
    <t xml:space="preserve"> STE 303</t>
  </si>
  <si>
    <t xml:space="preserve">MV INDY PHONE REPAIR GMZ LLC  </t>
  </si>
  <si>
    <t>1225 S. HIGH SCHOOL RD SPC. 50</t>
  </si>
  <si>
    <t xml:space="preserve">MY ANIME COLLECTION 317 LLC  </t>
  </si>
  <si>
    <t>335 N COLORADO AVE</t>
  </si>
  <si>
    <t xml:space="preserve"> 46201 - 3625</t>
  </si>
  <si>
    <t xml:space="preserve">N &amp; M Cleaning Services, LLC  </t>
  </si>
  <si>
    <t>1532 SHEPARD ST.</t>
  </si>
  <si>
    <t xml:space="preserve">NARCISO JAVIER VELASQUEZ LLC  </t>
  </si>
  <si>
    <t>1936 W VERMONT ST.</t>
  </si>
  <si>
    <t xml:space="preserve">NATHAN'S INSTALLATION LLC  </t>
  </si>
  <si>
    <t>1433 N MOUNT ST.</t>
  </si>
  <si>
    <t xml:space="preserve">New Beginnings Painting, LLC  </t>
  </si>
  <si>
    <t>3114 KESWICK RD</t>
  </si>
  <si>
    <t xml:space="preserve">OBIDIO ENRIQUE ORELLANA PAJARES LLC  </t>
  </si>
  <si>
    <t>3144 VOIGT DR</t>
  </si>
  <si>
    <t xml:space="preserve">ORTIZ ELECTRONICOS LLC  </t>
  </si>
  <si>
    <t>3585 COMMERCIAL DR # 3008</t>
  </si>
  <si>
    <t xml:space="preserve">Osman Josue Chacon LLC  </t>
  </si>
  <si>
    <t>921 W 1ST ST</t>
  </si>
  <si>
    <t xml:space="preserve">OX FASHION LLC  </t>
  </si>
  <si>
    <t xml:space="preserve"> STE 3015</t>
  </si>
  <si>
    <t xml:space="preserve">P &amp; H PAINTING AND REMODELING LLC  </t>
  </si>
  <si>
    <t>4431 EAGLE CREEK PKWY</t>
  </si>
  <si>
    <t xml:space="preserve">PALACIOS WATER SYSTEMS LLC  </t>
  </si>
  <si>
    <t>1530 LAWTON AVE</t>
  </si>
  <si>
    <t xml:space="preserve">PAMELA AND JESUS CLEANING SERVICES LLC  </t>
  </si>
  <si>
    <t>4256 PONZA CT</t>
  </si>
  <si>
    <t xml:space="preserve">PATRICIO DIAZ-LANDERO LLC  </t>
  </si>
  <si>
    <t>2153 BRAEBURN PKWY</t>
  </si>
  <si>
    <t xml:space="preserve">PEDRO XOCHITLA GATICA LLC  </t>
  </si>
  <si>
    <t>2177 WHITE AVE</t>
  </si>
  <si>
    <t xml:space="preserve">PONCE CONSTRUCTION LLC  </t>
  </si>
  <si>
    <t>3816 W 45TH TER</t>
  </si>
  <si>
    <t xml:space="preserve">PONCES JEWELRY LLC  </t>
  </si>
  <si>
    <t>2362 SHELBY ST</t>
  </si>
  <si>
    <t xml:space="preserve">PRO HERNANDEZ REMODELING LLC  </t>
  </si>
  <si>
    <t>4446 WEST 34TH ST</t>
  </si>
  <si>
    <t xml:space="preserve">Quantum Innova People Inc  </t>
  </si>
  <si>
    <t xml:space="preserve">QuantumHR LLP  </t>
  </si>
  <si>
    <t xml:space="preserve">Quinteros Venue LLC  </t>
  </si>
  <si>
    <t>3656 GREEN ASH CT</t>
  </si>
  <si>
    <t xml:space="preserve">R M R REMODELING LLC  </t>
  </si>
  <si>
    <t>2934 S LOCKBURN ST</t>
  </si>
  <si>
    <t xml:space="preserve">RAPTORS HOME SERVICES LLC  </t>
  </si>
  <si>
    <t>340 N 19TH AVE</t>
  </si>
  <si>
    <t xml:space="preserve"> BEECH GROVE</t>
  </si>
  <si>
    <t xml:space="preserve">Raul's Construction LLC  </t>
  </si>
  <si>
    <t>1200 CORAL SPRINGS DR</t>
  </si>
  <si>
    <t xml:space="preserve"> CICERO</t>
  </si>
  <si>
    <t xml:space="preserve"> 46034 - 9215</t>
  </si>
  <si>
    <t xml:space="preserve">RAY'S CONSTRUCTION LLC  </t>
  </si>
  <si>
    <t>3137 MELBOURNE RD SOUTH DRIVE</t>
  </si>
  <si>
    <t xml:space="preserve">Rodriguez Tobar Auto Sales LLC  </t>
  </si>
  <si>
    <t>6337 STOCKPORT RD</t>
  </si>
  <si>
    <t xml:space="preserve">ROLANDO JOSE ZELEDON BACA LLC  </t>
  </si>
  <si>
    <t>112 S INDIANA AVE</t>
  </si>
  <si>
    <t xml:space="preserve"> KOKOMO</t>
  </si>
  <si>
    <t xml:space="preserve">Rony Alvarado Lopez LLC  </t>
  </si>
  <si>
    <t>4102 N VINEWOOD AVE</t>
  </si>
  <si>
    <t xml:space="preserve">Rosa Roofing, LLC  </t>
  </si>
  <si>
    <t>5201 PATRICIA ST.</t>
  </si>
  <si>
    <t xml:space="preserve">ROSARIO CARRILLO-SALINAS LLC  </t>
  </si>
  <si>
    <t>4926 W 37TH ST</t>
  </si>
  <si>
    <t xml:space="preserve"> 46224 - 1610</t>
  </si>
  <si>
    <t xml:space="preserve">SANDOVAL CONCRETE LLC  </t>
  </si>
  <si>
    <t>4946 ELAINE ST</t>
  </si>
  <si>
    <t xml:space="preserve">SANTIAGO ALONSO VARGAS LLC  </t>
  </si>
  <si>
    <t>7905 TIMBER RIDGE</t>
  </si>
  <si>
    <t xml:space="preserve"> APT F</t>
  </si>
  <si>
    <t xml:space="preserve">SAYRA NOHEMI SEVILLA ANTUNEZ LLC  </t>
  </si>
  <si>
    <t>2518 E 16TH ST.</t>
  </si>
  <si>
    <t xml:space="preserve"> 46201 - 1277</t>
  </si>
  <si>
    <t xml:space="preserve">SCOOP FORCE LLC  </t>
  </si>
  <si>
    <t>2133A FINCASTLE WAY</t>
  </si>
  <si>
    <t xml:space="preserve"> 47909 - 7357</t>
  </si>
  <si>
    <t xml:space="preserve">SCOOTERS CHARGER LLC  </t>
  </si>
  <si>
    <t>768 CARLELY PL</t>
  </si>
  <si>
    <t xml:space="preserve">Sebastian Pascual Martin LLC  </t>
  </si>
  <si>
    <t>1041 KATHERINE CT</t>
  </si>
  <si>
    <t xml:space="preserve"> APT 8</t>
  </si>
  <si>
    <t xml:space="preserve">SERVICIOS RICE-VELASQUEZ TAX &amp; MULTISERVICE LLC  </t>
  </si>
  <si>
    <t xml:space="preserve">SILO'S ALTERATIONS AND LEATHER LLC  </t>
  </si>
  <si>
    <t>3840 N ILLINOIS STREET</t>
  </si>
  <si>
    <t xml:space="preserve">SIMILUAN LLC  </t>
  </si>
  <si>
    <t>3420 N RILEY AVE</t>
  </si>
  <si>
    <t xml:space="preserve">SOLIS CLEANING MANAGEMENT LLC  </t>
  </si>
  <si>
    <t>3640 SALEM ST</t>
  </si>
  <si>
    <t xml:space="preserve">SRV CAPITAL HOLDINGS, INC.  </t>
  </si>
  <si>
    <t xml:space="preserve">SRV Property Management LLC  </t>
  </si>
  <si>
    <t xml:space="preserve">SUN-RAY FOUNDATION REPAIR LLC  </t>
  </si>
  <si>
    <t>2645 PRIEST DR</t>
  </si>
  <si>
    <t xml:space="preserve">SUPER MERCADO LA PLAZA CORPORATION  </t>
  </si>
  <si>
    <t>2108 VETERANS MEMORIAL PKWY S STE D</t>
  </si>
  <si>
    <t xml:space="preserve">SURILAND LLC  </t>
  </si>
  <si>
    <t xml:space="preserve">TILE HEHE LLC  </t>
  </si>
  <si>
    <t>9635 E 10TH ST</t>
  </si>
  <si>
    <t xml:space="preserve">TO INDY, WITH LOVE, LLC  </t>
  </si>
  <si>
    <t xml:space="preserve">TRANSCORP INC  </t>
  </si>
  <si>
    <t xml:space="preserve"> 46214 - 1255</t>
  </si>
  <si>
    <t xml:space="preserve">Tres Masters Remodeling LLC  </t>
  </si>
  <si>
    <t>9905 SCOTT CT.</t>
  </si>
  <si>
    <t xml:space="preserve">Vega's Lawncare Landscaping LLC  </t>
  </si>
  <si>
    <t>10236 CUMBERLAND POINTE BLVD</t>
  </si>
  <si>
    <t xml:space="preserve">Veronica Elizabeth Rivera Herrera LLC  </t>
  </si>
  <si>
    <t>1338 NORTON AVE.</t>
  </si>
  <si>
    <t xml:space="preserve">VIDEO JUEGOS Y CURIOSIDADES LLC  </t>
  </si>
  <si>
    <t>3585 COMMERCIAL DR LOC 1015</t>
  </si>
  <si>
    <t xml:space="preserve">VIDEOJUEGOS Y ASESORIOS, LLC  </t>
  </si>
  <si>
    <t xml:space="preserve">VILLA AUTO SERVICE LLC  </t>
  </si>
  <si>
    <t>1336 GROFF AVE</t>
  </si>
  <si>
    <t xml:space="preserve">VS SHOP LLC  </t>
  </si>
  <si>
    <t xml:space="preserve">Wilington David Ortiz Chavarria LLC  </t>
  </si>
  <si>
    <t>2230 HERMITAGE WAY</t>
  </si>
  <si>
    <t xml:space="preserve">WM TRANSPORT LLC  </t>
  </si>
  <si>
    <t>3450 MACARTHUR LANE</t>
  </si>
  <si>
    <t xml:space="preserve">WORLD CLASS CLEANING LLC  </t>
  </si>
  <si>
    <t>10852 LANTERN VIEW DRIVE</t>
  </si>
  <si>
    <t xml:space="preserve"> APT 207</t>
  </si>
  <si>
    <t xml:space="preserve">XOCHITL DE MARIA VAZQUEZ DE LA CRUZ LLC  </t>
  </si>
  <si>
    <t>233 W 29 ST</t>
  </si>
  <si>
    <t xml:space="preserve">ZEA CONSTRUCTION &amp; PAINTING LLC  </t>
  </si>
  <si>
    <t>756 N TREMONT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</si>
</sst>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color rgb="FFFFFFFF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000000"/>
      <name val="Aptos Narrow"/>
    </font>
    <font>
      <b/>
      <sz val="11.0"/>
      <color theme="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</fills>
  <borders count="5">
    <border/>
    <border>
      <left/>
      <right/>
      <top style="thin">
        <color rgb="FF45B0E1"/>
      </top>
      <bottom style="thin">
        <color rgb="FF45B0E1"/>
      </bottom>
    </border>
    <border>
      <left/>
      <right style="thin">
        <color rgb="FF45B0E1"/>
      </right>
      <top style="thin">
        <color rgb="FF45B0E1"/>
      </top>
      <bottom style="thin">
        <color rgb="FF45B0E1"/>
      </bottom>
    </border>
    <border>
      <right style="thin">
        <color rgb="FF45B0E1"/>
      </right>
      <top style="thin">
        <color rgb="FF45B0E1"/>
      </top>
      <bottom style="thin">
        <color rgb="FF45B0E1"/>
      </bottom>
    </border>
    <border>
      <top style="thin">
        <color rgb="FF45B0E1"/>
      </top>
      <bottom style="thin">
        <color rgb="FF45B0E1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22" xfId="0" applyFont="1" applyNumberFormat="1"/>
    <xf borderId="0" fillId="0" fontId="4" numFmtId="0" xfId="0" applyFont="1"/>
    <xf borderId="0" fillId="0" fontId="2" numFmtId="0" xfId="0" applyFont="1"/>
    <xf borderId="1" fillId="2" fontId="5" numFmtId="0" xfId="0" applyBorder="1" applyFill="1" applyFont="1"/>
    <xf borderId="2" fillId="2" fontId="5" numFmtId="0" xfId="0" applyBorder="1" applyFont="1"/>
    <xf borderId="2" fillId="3" fontId="3" numFmtId="0" xfId="0" applyBorder="1" applyFill="1" applyFont="1"/>
    <xf borderId="3" fillId="0" fontId="3" numFmtId="0" xfId="0" applyBorder="1" applyFont="1"/>
    <xf borderId="1" fillId="3" fontId="3" numFmtId="0" xfId="0" applyBorder="1" applyFont="1"/>
    <xf borderId="1" fillId="3" fontId="3" numFmtId="22" xfId="0" applyBorder="1" applyFont="1" applyNumberFormat="1"/>
    <xf borderId="4" fillId="0" fontId="3" numFmtId="0" xfId="0" applyBorder="1" applyFont="1"/>
    <xf borderId="4" fillId="0" fontId="3" numFmtId="22" xfId="0" applyBorder="1" applyFont="1" applyNumberFormat="1"/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55" displayName="Table_1" name="Table_1" id="1">
  <tableColumns count="8">
    <tableColumn name="Business" id="1"/>
    <tableColumn name="Business2" id="2"/>
    <tableColumn name="Date and Time" id="3"/>
    <tableColumn name="DISSOLVED" id="4"/>
    <tableColumn name="PENDING" id="5"/>
    <tableColumn name="PAST DUE" id="6"/>
    <tableColumn name="DUE" id="7"/>
    <tableColumn name="Action" id="8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G246" displayName="Table_2" name="Table_2" id="2">
  <tableColumns count="7">
    <tableColumn name="Business Name" id="1"/>
    <tableColumn name="ADDRESS LINE 1" id="2"/>
    <tableColumn name="ADDRESS LINE 2" id="3"/>
    <tableColumn name="CITY" id="4"/>
    <tableColumn name="STATE" id="5"/>
    <tableColumn name="ZIP CODE" id="6"/>
    <tableColumn name="COUNTRY" id="7"/>
  </tableColumns>
  <tableStyleInfo name="Shee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6.88"/>
    <col customWidth="1" min="3" max="3" width="20.25"/>
    <col customWidth="1" min="4" max="4" width="13.75"/>
    <col customWidth="1" min="5" max="5" width="11.75"/>
    <col customWidth="1" min="6" max="6" width="12.0"/>
    <col customWidth="1" min="7" max="7" width="7.13"/>
    <col customWidth="1" min="8" max="8" width="44.75"/>
    <col customWidth="1" min="9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8</v>
      </c>
      <c r="C2" s="3">
        <v>45525.250659722224</v>
      </c>
      <c r="D2" s="3" t="b">
        <f t="shared" ref="D2:D455" si="2">IF(ISNUMBER(SEARCH("Dissolved",$A2)),TRUE,FALSE)</f>
        <v>0</v>
      </c>
      <c r="E2" s="3" t="b">
        <f t="shared" ref="E2:E455" si="3">IF(ISNUMBER(SEARCH("Pending",$A2)),TRUE,FALSE)</f>
        <v>0</v>
      </c>
      <c r="F2" s="3" t="b">
        <f t="shared" ref="F2:G2" si="1">IF(ISNUMBER(SEARCH("Past Due",$A2)),TRUE,FALSE)</f>
        <v>0</v>
      </c>
      <c r="G2" s="3" t="b">
        <f t="shared" si="1"/>
        <v>0</v>
      </c>
      <c r="H2" s="2"/>
    </row>
    <row r="3">
      <c r="A3" s="4" t="s">
        <v>9</v>
      </c>
      <c r="B3" s="2" t="s">
        <v>10</v>
      </c>
      <c r="C3" s="2"/>
      <c r="D3" s="3" t="b">
        <f t="shared" si="2"/>
        <v>0</v>
      </c>
      <c r="E3" s="3" t="b">
        <f t="shared" si="3"/>
        <v>0</v>
      </c>
      <c r="F3" s="3" t="b">
        <f t="shared" ref="F3:G3" si="4">IF(ISNUMBER(SEARCH("Past Due",$A3)),TRUE,FALSE)</f>
        <v>0</v>
      </c>
      <c r="G3" s="3" t="b">
        <f t="shared" si="4"/>
        <v>0</v>
      </c>
      <c r="H3" s="2" t="s">
        <v>11</v>
      </c>
    </row>
    <row r="4">
      <c r="A4" s="4" t="s">
        <v>9</v>
      </c>
      <c r="B4" s="2" t="s">
        <v>12</v>
      </c>
      <c r="C4" s="2"/>
      <c r="D4" s="3" t="b">
        <f t="shared" si="2"/>
        <v>0</v>
      </c>
      <c r="E4" s="3" t="b">
        <f t="shared" si="3"/>
        <v>0</v>
      </c>
      <c r="F4" s="3" t="b">
        <f t="shared" ref="F4:G4" si="5">IF(ISNUMBER(SEARCH("Past Due",$A4)),TRUE,FALSE)</f>
        <v>0</v>
      </c>
      <c r="G4" s="3" t="b">
        <f t="shared" si="5"/>
        <v>0</v>
      </c>
      <c r="H4" s="2" t="s">
        <v>11</v>
      </c>
    </row>
    <row r="5">
      <c r="A5" s="4" t="s">
        <v>9</v>
      </c>
      <c r="B5" s="2" t="s">
        <v>13</v>
      </c>
      <c r="C5" s="3">
        <v>45509.775</v>
      </c>
      <c r="D5" s="3" t="b">
        <f t="shared" si="2"/>
        <v>0</v>
      </c>
      <c r="E5" s="3" t="b">
        <f t="shared" si="3"/>
        <v>0</v>
      </c>
      <c r="F5" s="3" t="b">
        <f t="shared" ref="F5:G5" si="6">IF(ISNUMBER(SEARCH("Past Due",$A5)),TRUE,FALSE)</f>
        <v>0</v>
      </c>
      <c r="G5" s="3" t="b">
        <f t="shared" si="6"/>
        <v>0</v>
      </c>
      <c r="H5" s="2" t="s">
        <v>11</v>
      </c>
    </row>
    <row r="6">
      <c r="A6" s="4" t="s">
        <v>9</v>
      </c>
      <c r="B6" s="2" t="s">
        <v>14</v>
      </c>
      <c r="C6" s="3">
        <v>45570.98400462963</v>
      </c>
      <c r="D6" s="3" t="b">
        <f t="shared" si="2"/>
        <v>0</v>
      </c>
      <c r="E6" s="3" t="b">
        <f t="shared" si="3"/>
        <v>0</v>
      </c>
      <c r="F6" s="3" t="b">
        <f t="shared" ref="F6:G6" si="7">IF(ISNUMBER(SEARCH("Past Due",$A6)),TRUE,FALSE)</f>
        <v>0</v>
      </c>
      <c r="G6" s="3" t="b">
        <f t="shared" si="7"/>
        <v>0</v>
      </c>
      <c r="H6" s="2" t="s">
        <v>11</v>
      </c>
    </row>
    <row r="7">
      <c r="A7" s="2" t="s">
        <v>15</v>
      </c>
      <c r="B7" s="2" t="s">
        <v>16</v>
      </c>
      <c r="C7" s="3">
        <v>45601.86670138889</v>
      </c>
      <c r="D7" s="3" t="b">
        <f t="shared" si="2"/>
        <v>0</v>
      </c>
      <c r="E7" s="3" t="b">
        <f t="shared" si="3"/>
        <v>0</v>
      </c>
      <c r="F7" s="3" t="b">
        <f t="shared" ref="F7:G7" si="8">IF(ISNUMBER(SEARCH("Past Due",$A7)),TRUE,FALSE)</f>
        <v>1</v>
      </c>
      <c r="G7" s="3" t="b">
        <f t="shared" si="8"/>
        <v>1</v>
      </c>
      <c r="H7" s="2" t="s">
        <v>15</v>
      </c>
    </row>
    <row r="8">
      <c r="A8" s="2" t="s">
        <v>17</v>
      </c>
      <c r="B8" s="2" t="s">
        <v>18</v>
      </c>
      <c r="C8" s="3">
        <v>45478.78704861111</v>
      </c>
      <c r="D8" s="3" t="b">
        <f t="shared" si="2"/>
        <v>0</v>
      </c>
      <c r="E8" s="3" t="b">
        <f t="shared" si="3"/>
        <v>1</v>
      </c>
      <c r="F8" s="3" t="b">
        <f t="shared" ref="F8:G8" si="9">IF(ISNUMBER(SEARCH("Past Due",$A8)),TRUE,FALSE)</f>
        <v>0</v>
      </c>
      <c r="G8" s="3" t="b">
        <f t="shared" si="9"/>
        <v>0</v>
      </c>
      <c r="H8" s="2" t="s">
        <v>17</v>
      </c>
    </row>
    <row r="9">
      <c r="A9" s="2" t="s">
        <v>15</v>
      </c>
      <c r="B9" s="2" t="s">
        <v>19</v>
      </c>
      <c r="C9" s="2"/>
      <c r="D9" s="3" t="b">
        <f t="shared" si="2"/>
        <v>0</v>
      </c>
      <c r="E9" s="3" t="b">
        <f t="shared" si="3"/>
        <v>0</v>
      </c>
      <c r="F9" s="3" t="b">
        <f t="shared" ref="F9:G9" si="10">IF(ISNUMBER(SEARCH("Past Due",$A9)),TRUE,FALSE)</f>
        <v>1</v>
      </c>
      <c r="G9" s="3" t="b">
        <f t="shared" si="10"/>
        <v>1</v>
      </c>
      <c r="H9" s="2" t="s">
        <v>15</v>
      </c>
    </row>
    <row r="10">
      <c r="A10" s="2" t="s">
        <v>15</v>
      </c>
      <c r="B10" s="2" t="s">
        <v>19</v>
      </c>
      <c r="C10" s="2"/>
      <c r="D10" s="3" t="b">
        <f t="shared" si="2"/>
        <v>0</v>
      </c>
      <c r="E10" s="3" t="b">
        <f t="shared" si="3"/>
        <v>0</v>
      </c>
      <c r="F10" s="3" t="b">
        <f t="shared" ref="F10:G10" si="11">IF(ISNUMBER(SEARCH("Past Due",$A10)),TRUE,FALSE)</f>
        <v>1</v>
      </c>
      <c r="G10" s="3" t="b">
        <f t="shared" si="11"/>
        <v>1</v>
      </c>
      <c r="H10" s="2" t="s">
        <v>15</v>
      </c>
    </row>
    <row r="11">
      <c r="A11" s="2" t="s">
        <v>15</v>
      </c>
      <c r="B11" s="2" t="s">
        <v>19</v>
      </c>
      <c r="C11" s="2"/>
      <c r="D11" s="3" t="b">
        <f t="shared" si="2"/>
        <v>0</v>
      </c>
      <c r="E11" s="3" t="b">
        <f t="shared" si="3"/>
        <v>0</v>
      </c>
      <c r="F11" s="3" t="b">
        <f t="shared" ref="F11:G11" si="12">IF(ISNUMBER(SEARCH("Past Due",$A11)),TRUE,FALSE)</f>
        <v>1</v>
      </c>
      <c r="G11" s="3" t="b">
        <f t="shared" si="12"/>
        <v>1</v>
      </c>
      <c r="H11" s="2" t="s">
        <v>15</v>
      </c>
    </row>
    <row r="12">
      <c r="A12" s="2" t="s">
        <v>17</v>
      </c>
      <c r="B12" s="2" t="s">
        <v>20</v>
      </c>
      <c r="C12" s="2"/>
      <c r="D12" s="3" t="b">
        <f t="shared" si="2"/>
        <v>0</v>
      </c>
      <c r="E12" s="3" t="b">
        <f t="shared" si="3"/>
        <v>1</v>
      </c>
      <c r="F12" s="3" t="b">
        <f t="shared" ref="F12:G12" si="13">IF(ISNUMBER(SEARCH("Past Due",$A12)),TRUE,FALSE)</f>
        <v>0</v>
      </c>
      <c r="G12" s="3" t="b">
        <f t="shared" si="13"/>
        <v>0</v>
      </c>
      <c r="H12" s="2" t="s">
        <v>17</v>
      </c>
    </row>
    <row r="13">
      <c r="A13" s="2" t="s">
        <v>15</v>
      </c>
      <c r="B13" s="2" t="s">
        <v>21</v>
      </c>
      <c r="C13" s="3">
        <v>45417.0</v>
      </c>
      <c r="D13" s="3" t="b">
        <f t="shared" si="2"/>
        <v>0</v>
      </c>
      <c r="E13" s="3" t="b">
        <f t="shared" si="3"/>
        <v>0</v>
      </c>
      <c r="F13" s="3" t="b">
        <f t="shared" ref="F13:G13" si="14">IF(ISNUMBER(SEARCH("Past Due",$A13)),TRUE,FALSE)</f>
        <v>1</v>
      </c>
      <c r="G13" s="3" t="b">
        <f t="shared" si="14"/>
        <v>1</v>
      </c>
      <c r="H13" s="2" t="s">
        <v>15</v>
      </c>
    </row>
    <row r="14">
      <c r="A14" s="2" t="s">
        <v>15</v>
      </c>
      <c r="B14" s="2" t="s">
        <v>22</v>
      </c>
      <c r="C14" s="3">
        <v>45448.82334490741</v>
      </c>
      <c r="D14" s="3" t="b">
        <f t="shared" si="2"/>
        <v>0</v>
      </c>
      <c r="E14" s="3" t="b">
        <f t="shared" si="3"/>
        <v>0</v>
      </c>
      <c r="F14" s="3" t="b">
        <f t="shared" ref="F14:G14" si="15">IF(ISNUMBER(SEARCH("Past Due",$A14)),TRUE,FALSE)</f>
        <v>1</v>
      </c>
      <c r="G14" s="3" t="b">
        <f t="shared" si="15"/>
        <v>1</v>
      </c>
      <c r="H14" s="2" t="s">
        <v>15</v>
      </c>
    </row>
    <row r="15">
      <c r="A15" s="2" t="s">
        <v>23</v>
      </c>
      <c r="B15" s="2" t="s">
        <v>24</v>
      </c>
      <c r="C15" s="3">
        <v>45601.76646990741</v>
      </c>
      <c r="D15" s="3" t="b">
        <f t="shared" si="2"/>
        <v>1</v>
      </c>
      <c r="E15" s="3" t="b">
        <f t="shared" si="3"/>
        <v>0</v>
      </c>
      <c r="F15" s="3" t="b">
        <f t="shared" ref="F15:G15" si="16">IF(ISNUMBER(SEARCH("Past Due",$A15)),TRUE,FALSE)</f>
        <v>0</v>
      </c>
      <c r="G15" s="3" t="b">
        <f t="shared" si="16"/>
        <v>0</v>
      </c>
      <c r="H15" s="2" t="s">
        <v>25</v>
      </c>
    </row>
    <row r="16">
      <c r="A16" s="2" t="s">
        <v>23</v>
      </c>
      <c r="B16" s="2" t="s">
        <v>26</v>
      </c>
      <c r="C16" s="3">
        <v>45509.78601851852</v>
      </c>
      <c r="D16" s="3" t="b">
        <f t="shared" si="2"/>
        <v>1</v>
      </c>
      <c r="E16" s="3" t="b">
        <f t="shared" si="3"/>
        <v>0</v>
      </c>
      <c r="F16" s="3" t="b">
        <f t="shared" ref="F16:G16" si="17">IF(ISNUMBER(SEARCH("Past Due",$A16)),TRUE,FALSE)</f>
        <v>0</v>
      </c>
      <c r="G16" s="3" t="b">
        <f t="shared" si="17"/>
        <v>0</v>
      </c>
      <c r="H16" s="2"/>
    </row>
    <row r="17">
      <c r="A17" s="4" t="s">
        <v>9</v>
      </c>
      <c r="B17" s="2" t="s">
        <v>27</v>
      </c>
      <c r="C17" s="2"/>
      <c r="D17" s="3" t="b">
        <f t="shared" si="2"/>
        <v>0</v>
      </c>
      <c r="E17" s="3" t="b">
        <f t="shared" si="3"/>
        <v>0</v>
      </c>
      <c r="F17" s="3" t="b">
        <f t="shared" ref="F17:G17" si="18">IF(ISNUMBER(SEARCH("Past Due",$A17)),TRUE,FALSE)</f>
        <v>0</v>
      </c>
      <c r="G17" s="3" t="b">
        <f t="shared" si="18"/>
        <v>0</v>
      </c>
      <c r="H17" s="2" t="s">
        <v>11</v>
      </c>
    </row>
    <row r="18">
      <c r="A18" s="4" t="s">
        <v>9</v>
      </c>
      <c r="B18" s="2" t="s">
        <v>28</v>
      </c>
      <c r="C18" s="2"/>
      <c r="D18" s="3" t="b">
        <f t="shared" si="2"/>
        <v>0</v>
      </c>
      <c r="E18" s="3" t="b">
        <f t="shared" si="3"/>
        <v>0</v>
      </c>
      <c r="F18" s="3" t="b">
        <f t="shared" ref="F18:G18" si="19">IF(ISNUMBER(SEARCH("Past Due",$A18)),TRUE,FALSE)</f>
        <v>0</v>
      </c>
      <c r="G18" s="3" t="b">
        <f t="shared" si="19"/>
        <v>0</v>
      </c>
      <c r="H18" s="2" t="s">
        <v>17</v>
      </c>
    </row>
    <row r="19">
      <c r="A19" s="4" t="s">
        <v>9</v>
      </c>
      <c r="B19" s="2" t="s">
        <v>29</v>
      </c>
      <c r="C19" s="3">
        <v>45540.775868055556</v>
      </c>
      <c r="D19" s="3" t="b">
        <f t="shared" si="2"/>
        <v>0</v>
      </c>
      <c r="E19" s="3" t="b">
        <f t="shared" si="3"/>
        <v>0</v>
      </c>
      <c r="F19" s="3" t="b">
        <f t="shared" ref="F19:G19" si="20">IF(ISNUMBER(SEARCH("Past Due",$A19)),TRUE,FALSE)</f>
        <v>0</v>
      </c>
      <c r="G19" s="3" t="b">
        <f t="shared" si="20"/>
        <v>0</v>
      </c>
      <c r="H19" s="2"/>
    </row>
    <row r="20">
      <c r="A20" s="4" t="s">
        <v>9</v>
      </c>
      <c r="B20" s="2" t="s">
        <v>29</v>
      </c>
      <c r="C20" s="3">
        <v>45601.881006944444</v>
      </c>
      <c r="D20" s="3" t="b">
        <f t="shared" si="2"/>
        <v>0</v>
      </c>
      <c r="E20" s="3" t="b">
        <f t="shared" si="3"/>
        <v>0</v>
      </c>
      <c r="F20" s="3" t="b">
        <f t="shared" ref="F20:G20" si="21">IF(ISNUMBER(SEARCH("Past Due",$A20)),TRUE,FALSE)</f>
        <v>0</v>
      </c>
      <c r="G20" s="3" t="b">
        <f t="shared" si="21"/>
        <v>0</v>
      </c>
      <c r="H20" s="2"/>
    </row>
    <row r="21" ht="15.75" customHeight="1">
      <c r="A21" s="4" t="s">
        <v>9</v>
      </c>
      <c r="B21" s="2" t="s">
        <v>30</v>
      </c>
      <c r="C21" s="2"/>
      <c r="D21" s="3" t="b">
        <f t="shared" si="2"/>
        <v>0</v>
      </c>
      <c r="E21" s="3" t="b">
        <f t="shared" si="3"/>
        <v>0</v>
      </c>
      <c r="F21" s="3" t="b">
        <f t="shared" ref="F21:G21" si="22">IF(ISNUMBER(SEARCH("Past Due",$A21)),TRUE,FALSE)</f>
        <v>0</v>
      </c>
      <c r="G21" s="3" t="b">
        <f t="shared" si="22"/>
        <v>0</v>
      </c>
      <c r="H21" s="2" t="s">
        <v>11</v>
      </c>
    </row>
    <row r="22" ht="15.75" customHeight="1">
      <c r="A22" s="2" t="s">
        <v>15</v>
      </c>
      <c r="B22" s="2" t="s">
        <v>30</v>
      </c>
      <c r="C22" s="2"/>
      <c r="D22" s="3" t="b">
        <f t="shared" si="2"/>
        <v>0</v>
      </c>
      <c r="E22" s="3" t="b">
        <f t="shared" si="3"/>
        <v>0</v>
      </c>
      <c r="F22" s="3" t="b">
        <f t="shared" ref="F22:G22" si="23">IF(ISNUMBER(SEARCH("Past Due",$A22)),TRUE,FALSE)</f>
        <v>1</v>
      </c>
      <c r="G22" s="3" t="b">
        <f t="shared" si="23"/>
        <v>1</v>
      </c>
      <c r="H22" s="2" t="s">
        <v>15</v>
      </c>
    </row>
    <row r="23" ht="15.75" customHeight="1">
      <c r="A23" s="2" t="s">
        <v>17</v>
      </c>
      <c r="B23" s="2" t="s">
        <v>31</v>
      </c>
      <c r="C23" s="2"/>
      <c r="D23" s="3" t="b">
        <f t="shared" si="2"/>
        <v>0</v>
      </c>
      <c r="E23" s="3" t="b">
        <f t="shared" si="3"/>
        <v>1</v>
      </c>
      <c r="F23" s="3" t="b">
        <f t="shared" ref="F23:G23" si="24">IF(ISNUMBER(SEARCH("Past Due",$A23)),TRUE,FALSE)</f>
        <v>0</v>
      </c>
      <c r="G23" s="3" t="b">
        <f t="shared" si="24"/>
        <v>0</v>
      </c>
      <c r="H23" s="2" t="s">
        <v>17</v>
      </c>
    </row>
    <row r="24" ht="15.75" customHeight="1">
      <c r="A24" s="2" t="s">
        <v>9</v>
      </c>
      <c r="B24" s="2" t="s">
        <v>32</v>
      </c>
      <c r="C24" s="3">
        <v>45448.91732638889</v>
      </c>
      <c r="D24" s="3" t="b">
        <f t="shared" si="2"/>
        <v>0</v>
      </c>
      <c r="E24" s="3" t="b">
        <f t="shared" si="3"/>
        <v>0</v>
      </c>
      <c r="F24" s="3" t="b">
        <f t="shared" ref="F24:G24" si="25">IF(ISNUMBER(SEARCH("Past Due",$A24)),TRUE,FALSE)</f>
        <v>0</v>
      </c>
      <c r="G24" s="3" t="b">
        <f t="shared" si="25"/>
        <v>0</v>
      </c>
      <c r="H24" s="2"/>
    </row>
    <row r="25" ht="15.75" customHeight="1">
      <c r="A25" s="2" t="s">
        <v>15</v>
      </c>
      <c r="B25" s="2" t="s">
        <v>33</v>
      </c>
      <c r="C25" s="3">
        <v>45478.84909722222</v>
      </c>
      <c r="D25" s="3" t="b">
        <f t="shared" si="2"/>
        <v>0</v>
      </c>
      <c r="E25" s="3" t="b">
        <f t="shared" si="3"/>
        <v>0</v>
      </c>
      <c r="F25" s="3" t="b">
        <f t="shared" ref="F25:G25" si="26">IF(ISNUMBER(SEARCH("Past Due",$A25)),TRUE,FALSE)</f>
        <v>1</v>
      </c>
      <c r="G25" s="3" t="b">
        <f t="shared" si="26"/>
        <v>1</v>
      </c>
      <c r="H25" s="2" t="s">
        <v>15</v>
      </c>
    </row>
    <row r="26" ht="15.75" customHeight="1">
      <c r="A26" s="2" t="s">
        <v>34</v>
      </c>
      <c r="B26" s="2" t="s">
        <v>34</v>
      </c>
      <c r="C26" s="3">
        <v>45540.78802083333</v>
      </c>
      <c r="D26" s="3" t="b">
        <f t="shared" si="2"/>
        <v>0</v>
      </c>
      <c r="E26" s="3" t="b">
        <f t="shared" si="3"/>
        <v>1</v>
      </c>
      <c r="F26" s="3" t="b">
        <f t="shared" ref="F26:G26" si="27">IF(ISNUMBER(SEARCH("Past Due",$A26)),TRUE,FALSE)</f>
        <v>0</v>
      </c>
      <c r="G26" s="3" t="b">
        <f t="shared" si="27"/>
        <v>0</v>
      </c>
      <c r="H26" s="2"/>
    </row>
    <row r="27" ht="15.75" customHeight="1">
      <c r="A27" s="2" t="s">
        <v>11</v>
      </c>
      <c r="B27" s="2" t="s">
        <v>35</v>
      </c>
      <c r="C27" s="2"/>
      <c r="D27" s="3" t="b">
        <f t="shared" si="2"/>
        <v>0</v>
      </c>
      <c r="E27" s="3" t="b">
        <f t="shared" si="3"/>
        <v>0</v>
      </c>
      <c r="F27" s="3" t="b">
        <f t="shared" ref="F27:G27" si="28">IF(ISNUMBER(SEARCH("Past Due",$A27)),TRUE,FALSE)</f>
        <v>0</v>
      </c>
      <c r="G27" s="3" t="b">
        <f t="shared" si="28"/>
        <v>0</v>
      </c>
      <c r="H27" s="2" t="s">
        <v>11</v>
      </c>
    </row>
    <row r="28" ht="15.75" customHeight="1">
      <c r="A28" s="2" t="s">
        <v>11</v>
      </c>
      <c r="B28" s="2" t="s">
        <v>35</v>
      </c>
      <c r="C28" s="2"/>
      <c r="D28" s="3" t="b">
        <f t="shared" si="2"/>
        <v>0</v>
      </c>
      <c r="E28" s="3" t="b">
        <f t="shared" si="3"/>
        <v>0</v>
      </c>
      <c r="F28" s="3" t="b">
        <f t="shared" ref="F28:G28" si="29">IF(ISNUMBER(SEARCH("Past Due",$A28)),TRUE,FALSE)</f>
        <v>0</v>
      </c>
      <c r="G28" s="3" t="b">
        <f t="shared" si="29"/>
        <v>0</v>
      </c>
      <c r="H28" s="2" t="s">
        <v>11</v>
      </c>
    </row>
    <row r="29" ht="15.75" customHeight="1">
      <c r="A29" s="2" t="s">
        <v>17</v>
      </c>
      <c r="B29" s="2" t="s">
        <v>36</v>
      </c>
      <c r="C29" s="2"/>
      <c r="D29" s="3" t="b">
        <f t="shared" si="2"/>
        <v>0</v>
      </c>
      <c r="E29" s="3" t="b">
        <f t="shared" si="3"/>
        <v>1</v>
      </c>
      <c r="F29" s="3" t="b">
        <f t="shared" ref="F29:G29" si="30">IF(ISNUMBER(SEARCH("Past Due",$A29)),TRUE,FALSE)</f>
        <v>0</v>
      </c>
      <c r="G29" s="3" t="b">
        <f t="shared" si="30"/>
        <v>0</v>
      </c>
      <c r="H29" s="2" t="s">
        <v>17</v>
      </c>
    </row>
    <row r="30" ht="15.75" customHeight="1">
      <c r="A30" s="2" t="s">
        <v>17</v>
      </c>
      <c r="B30" s="2" t="s">
        <v>36</v>
      </c>
      <c r="C30" s="2"/>
      <c r="D30" s="3" t="b">
        <f t="shared" si="2"/>
        <v>0</v>
      </c>
      <c r="E30" s="3" t="b">
        <f t="shared" si="3"/>
        <v>1</v>
      </c>
      <c r="F30" s="3" t="b">
        <f t="shared" ref="F30:G30" si="31">IF(ISNUMBER(SEARCH("Past Due",$A30)),TRUE,FALSE)</f>
        <v>0</v>
      </c>
      <c r="G30" s="3" t="b">
        <f t="shared" si="31"/>
        <v>0</v>
      </c>
      <c r="H30" s="2" t="s">
        <v>17</v>
      </c>
    </row>
    <row r="31" ht="15.75" customHeight="1">
      <c r="A31" s="2" t="s">
        <v>37</v>
      </c>
      <c r="B31" s="2" t="s">
        <v>37</v>
      </c>
      <c r="C31" s="3">
        <v>45417.0</v>
      </c>
      <c r="D31" s="3" t="b">
        <f t="shared" si="2"/>
        <v>0</v>
      </c>
      <c r="E31" s="3" t="b">
        <f t="shared" si="3"/>
        <v>0</v>
      </c>
      <c r="F31" s="3" t="b">
        <f t="shared" ref="F31:G31" si="32">IF(ISNUMBER(SEARCH("Past Due",$A31)),TRUE,FALSE)</f>
        <v>0</v>
      </c>
      <c r="G31" s="3" t="b">
        <f t="shared" si="32"/>
        <v>0</v>
      </c>
      <c r="H31" s="2"/>
    </row>
    <row r="32" ht="15.75" customHeight="1">
      <c r="A32" s="2" t="s">
        <v>38</v>
      </c>
      <c r="B32" s="2" t="s">
        <v>38</v>
      </c>
      <c r="C32" s="3">
        <v>45448.841828703706</v>
      </c>
      <c r="D32" s="3" t="b">
        <f t="shared" si="2"/>
        <v>0</v>
      </c>
      <c r="E32" s="3" t="b">
        <f t="shared" si="3"/>
        <v>0</v>
      </c>
      <c r="F32" s="3" t="b">
        <f t="shared" ref="F32:G32" si="33">IF(ISNUMBER(SEARCH("Past Due",$A32)),TRUE,FALSE)</f>
        <v>1</v>
      </c>
      <c r="G32" s="3" t="b">
        <f t="shared" si="33"/>
        <v>1</v>
      </c>
      <c r="H32" s="2" t="s">
        <v>15</v>
      </c>
    </row>
    <row r="33" ht="15.75" customHeight="1">
      <c r="A33" s="2" t="s">
        <v>39</v>
      </c>
      <c r="B33" s="2" t="s">
        <v>39</v>
      </c>
      <c r="C33" s="3">
        <v>45601.77810185185</v>
      </c>
      <c r="D33" s="3" t="b">
        <f t="shared" si="2"/>
        <v>1</v>
      </c>
      <c r="E33" s="3" t="b">
        <f t="shared" si="3"/>
        <v>0</v>
      </c>
      <c r="F33" s="3" t="b">
        <f t="shared" ref="F33:G33" si="34">IF(ISNUMBER(SEARCH("Past Due",$A33)),TRUE,FALSE)</f>
        <v>0</v>
      </c>
      <c r="G33" s="3" t="b">
        <f t="shared" si="34"/>
        <v>0</v>
      </c>
      <c r="H33" s="2"/>
    </row>
    <row r="34" ht="15.75" customHeight="1">
      <c r="A34" s="2" t="s">
        <v>40</v>
      </c>
      <c r="B34" s="2" t="s">
        <v>40</v>
      </c>
      <c r="C34" s="3">
        <v>45509.77920138889</v>
      </c>
      <c r="D34" s="3" t="b">
        <f t="shared" si="2"/>
        <v>0</v>
      </c>
      <c r="E34" s="3" t="b">
        <f t="shared" si="3"/>
        <v>1</v>
      </c>
      <c r="F34" s="3" t="b">
        <f t="shared" ref="F34:G34" si="35">IF(ISNUMBER(SEARCH("Past Due",$A34)),TRUE,FALSE)</f>
        <v>0</v>
      </c>
      <c r="G34" s="3" t="b">
        <f t="shared" si="35"/>
        <v>0</v>
      </c>
      <c r="H34" s="2"/>
    </row>
    <row r="35" ht="15.75" customHeight="1">
      <c r="A35" s="2" t="s">
        <v>11</v>
      </c>
      <c r="B35" s="2" t="s">
        <v>41</v>
      </c>
      <c r="C35" s="2"/>
      <c r="D35" s="3" t="b">
        <f t="shared" si="2"/>
        <v>0</v>
      </c>
      <c r="E35" s="3" t="b">
        <f t="shared" si="3"/>
        <v>0</v>
      </c>
      <c r="F35" s="3" t="b">
        <f t="shared" ref="F35:G35" si="36">IF(ISNUMBER(SEARCH("Past Due",$A35)),TRUE,FALSE)</f>
        <v>0</v>
      </c>
      <c r="G35" s="3" t="b">
        <f t="shared" si="36"/>
        <v>0</v>
      </c>
      <c r="H35" s="2" t="s">
        <v>11</v>
      </c>
    </row>
    <row r="36" ht="15.75" customHeight="1">
      <c r="A36" s="2" t="s">
        <v>42</v>
      </c>
      <c r="B36" s="2" t="s">
        <v>42</v>
      </c>
      <c r="C36" s="3">
        <v>45540.79119212963</v>
      </c>
      <c r="D36" s="3" t="b">
        <f t="shared" si="2"/>
        <v>1</v>
      </c>
      <c r="E36" s="3" t="b">
        <f t="shared" si="3"/>
        <v>0</v>
      </c>
      <c r="F36" s="3" t="b">
        <f t="shared" ref="F36:G36" si="37">IF(ISNUMBER(SEARCH("Past Due",$A36)),TRUE,FALSE)</f>
        <v>0</v>
      </c>
      <c r="G36" s="3" t="b">
        <f t="shared" si="37"/>
        <v>0</v>
      </c>
      <c r="H36" s="2"/>
    </row>
    <row r="37" ht="15.75" customHeight="1">
      <c r="A37" s="2" t="s">
        <v>43</v>
      </c>
      <c r="B37" s="2" t="s">
        <v>43</v>
      </c>
      <c r="C37" s="3">
        <v>45448.81412037037</v>
      </c>
      <c r="D37" s="3" t="b">
        <f t="shared" si="2"/>
        <v>0</v>
      </c>
      <c r="E37" s="3" t="b">
        <f t="shared" si="3"/>
        <v>1</v>
      </c>
      <c r="F37" s="3" t="b">
        <f t="shared" ref="F37:G37" si="38">IF(ISNUMBER(SEARCH("Past Due",$A37)),TRUE,FALSE)</f>
        <v>0</v>
      </c>
      <c r="G37" s="3" t="b">
        <f t="shared" si="38"/>
        <v>0</v>
      </c>
      <c r="H37" s="2"/>
    </row>
    <row r="38" ht="15.75" customHeight="1">
      <c r="A38" s="2" t="s">
        <v>15</v>
      </c>
      <c r="B38" s="2" t="s">
        <v>44</v>
      </c>
      <c r="C38" s="2"/>
      <c r="D38" s="3" t="b">
        <f t="shared" si="2"/>
        <v>0</v>
      </c>
      <c r="E38" s="3" t="b">
        <f t="shared" si="3"/>
        <v>0</v>
      </c>
      <c r="F38" s="3" t="b">
        <f t="shared" ref="F38:G38" si="39">IF(ISNUMBER(SEARCH("Past Due",$A38)),TRUE,FALSE)</f>
        <v>1</v>
      </c>
      <c r="G38" s="3" t="b">
        <f t="shared" si="39"/>
        <v>1</v>
      </c>
      <c r="H38" s="2" t="s">
        <v>15</v>
      </c>
    </row>
    <row r="39" ht="15.75" customHeight="1">
      <c r="A39" s="2" t="s">
        <v>15</v>
      </c>
      <c r="B39" s="2" t="s">
        <v>45</v>
      </c>
      <c r="C39" s="3">
        <v>45448.81706018518</v>
      </c>
      <c r="D39" s="3" t="b">
        <f t="shared" si="2"/>
        <v>0</v>
      </c>
      <c r="E39" s="3" t="b">
        <f t="shared" si="3"/>
        <v>0</v>
      </c>
      <c r="F39" s="3" t="b">
        <f t="shared" ref="F39:G39" si="40">IF(ISNUMBER(SEARCH("Past Due",$A39)),TRUE,FALSE)</f>
        <v>1</v>
      </c>
      <c r="G39" s="3" t="b">
        <f t="shared" si="40"/>
        <v>1</v>
      </c>
      <c r="H39" s="2"/>
    </row>
    <row r="40" ht="15.75" customHeight="1">
      <c r="A40" s="2" t="s">
        <v>11</v>
      </c>
      <c r="B40" s="2" t="s">
        <v>46</v>
      </c>
      <c r="C40" s="2"/>
      <c r="D40" s="3" t="b">
        <f t="shared" si="2"/>
        <v>0</v>
      </c>
      <c r="E40" s="3" t="b">
        <f t="shared" si="3"/>
        <v>0</v>
      </c>
      <c r="F40" s="3" t="b">
        <f t="shared" ref="F40:G40" si="41">IF(ISNUMBER(SEARCH("Past Due",$A40)),TRUE,FALSE)</f>
        <v>0</v>
      </c>
      <c r="G40" s="3" t="b">
        <f t="shared" si="41"/>
        <v>0</v>
      </c>
      <c r="H40" s="2" t="s">
        <v>11</v>
      </c>
    </row>
    <row r="41" ht="15.75" customHeight="1">
      <c r="A41" s="2" t="s">
        <v>11</v>
      </c>
      <c r="B41" s="2" t="s">
        <v>46</v>
      </c>
      <c r="C41" s="2"/>
      <c r="D41" s="3" t="b">
        <f t="shared" si="2"/>
        <v>0</v>
      </c>
      <c r="E41" s="3" t="b">
        <f t="shared" si="3"/>
        <v>0</v>
      </c>
      <c r="F41" s="3" t="b">
        <f t="shared" ref="F41:G41" si="42">IF(ISNUMBER(SEARCH("Past Due",$A41)),TRUE,FALSE)</f>
        <v>0</v>
      </c>
      <c r="G41" s="3" t="b">
        <f t="shared" si="42"/>
        <v>0</v>
      </c>
      <c r="H41" s="2" t="s">
        <v>11</v>
      </c>
    </row>
    <row r="42" ht="15.75" customHeight="1">
      <c r="A42" s="2" t="s">
        <v>15</v>
      </c>
      <c r="B42" s="2" t="s">
        <v>46</v>
      </c>
      <c r="C42" s="2"/>
      <c r="D42" s="3" t="b">
        <f t="shared" si="2"/>
        <v>0</v>
      </c>
      <c r="E42" s="3" t="b">
        <f t="shared" si="3"/>
        <v>0</v>
      </c>
      <c r="F42" s="3" t="b">
        <f t="shared" ref="F42:G42" si="43">IF(ISNUMBER(SEARCH("Past Due",$A42)),TRUE,FALSE)</f>
        <v>1</v>
      </c>
      <c r="G42" s="3" t="b">
        <f t="shared" si="43"/>
        <v>1</v>
      </c>
      <c r="H42" s="2" t="s">
        <v>15</v>
      </c>
    </row>
    <row r="43" ht="15.75" customHeight="1">
      <c r="A43" s="2" t="s">
        <v>47</v>
      </c>
      <c r="B43" s="2" t="s">
        <v>47</v>
      </c>
      <c r="C43" s="3">
        <v>45448.77446759259</v>
      </c>
      <c r="D43" s="3" t="b">
        <f t="shared" si="2"/>
        <v>0</v>
      </c>
      <c r="E43" s="3" t="b">
        <f t="shared" si="3"/>
        <v>0</v>
      </c>
      <c r="F43" s="3" t="b">
        <f t="shared" ref="F43:G43" si="44">IF(ISNUMBER(SEARCH("Past Due",$A43)),TRUE,FALSE)</f>
        <v>0</v>
      </c>
      <c r="G43" s="3" t="b">
        <f t="shared" si="44"/>
        <v>0</v>
      </c>
      <c r="H43" s="2"/>
    </row>
    <row r="44" ht="15.75" customHeight="1">
      <c r="A44" s="2" t="s">
        <v>47</v>
      </c>
      <c r="B44" s="2" t="s">
        <v>47</v>
      </c>
      <c r="C44" s="3">
        <v>45509.96303240741</v>
      </c>
      <c r="D44" s="3" t="b">
        <f t="shared" si="2"/>
        <v>0</v>
      </c>
      <c r="E44" s="3" t="b">
        <f t="shared" si="3"/>
        <v>0</v>
      </c>
      <c r="F44" s="3" t="b">
        <f t="shared" ref="F44:G44" si="45">IF(ISNUMBER(SEARCH("Past Due",$A44)),TRUE,FALSE)</f>
        <v>0</v>
      </c>
      <c r="G44" s="3" t="b">
        <f t="shared" si="45"/>
        <v>0</v>
      </c>
      <c r="H44" s="2"/>
    </row>
    <row r="45" ht="15.75" customHeight="1">
      <c r="A45" s="2" t="s">
        <v>15</v>
      </c>
      <c r="B45" s="2" t="s">
        <v>48</v>
      </c>
      <c r="C45" s="3">
        <v>45540.85851851852</v>
      </c>
      <c r="D45" s="3" t="b">
        <f t="shared" si="2"/>
        <v>0</v>
      </c>
      <c r="E45" s="3" t="b">
        <f t="shared" si="3"/>
        <v>0</v>
      </c>
      <c r="F45" s="3" t="b">
        <f t="shared" ref="F45:G45" si="46">IF(ISNUMBER(SEARCH("Past Due",$A45)),TRUE,FALSE)</f>
        <v>1</v>
      </c>
      <c r="G45" s="3" t="b">
        <f t="shared" si="46"/>
        <v>1</v>
      </c>
      <c r="H45" s="2" t="s">
        <v>15</v>
      </c>
    </row>
    <row r="46" ht="15.75" customHeight="1">
      <c r="A46" s="2" t="s">
        <v>49</v>
      </c>
      <c r="B46" s="2" t="s">
        <v>49</v>
      </c>
      <c r="C46" s="3">
        <v>45601.796689814815</v>
      </c>
      <c r="D46" s="3" t="b">
        <f t="shared" si="2"/>
        <v>0</v>
      </c>
      <c r="E46" s="3" t="b">
        <f t="shared" si="3"/>
        <v>1</v>
      </c>
      <c r="F46" s="3" t="b">
        <f t="shared" ref="F46:G46" si="47">IF(ISNUMBER(SEARCH("Past Due",$A46)),TRUE,FALSE)</f>
        <v>0</v>
      </c>
      <c r="G46" s="3" t="b">
        <f t="shared" si="47"/>
        <v>0</v>
      </c>
      <c r="H46" s="2"/>
    </row>
    <row r="47" ht="15.75" customHeight="1">
      <c r="A47" s="2" t="s">
        <v>17</v>
      </c>
      <c r="B47" s="2" t="s">
        <v>50</v>
      </c>
      <c r="C47" s="2"/>
      <c r="D47" s="3" t="b">
        <f t="shared" si="2"/>
        <v>0</v>
      </c>
      <c r="E47" s="3" t="b">
        <f t="shared" si="3"/>
        <v>1</v>
      </c>
      <c r="F47" s="3" t="b">
        <f t="shared" ref="F47:G47" si="48">IF(ISNUMBER(SEARCH("Past Due",$A47)),TRUE,FALSE)</f>
        <v>0</v>
      </c>
      <c r="G47" s="3" t="b">
        <f t="shared" si="48"/>
        <v>0</v>
      </c>
      <c r="H47" s="2" t="s">
        <v>17</v>
      </c>
    </row>
    <row r="48" ht="15.75" customHeight="1">
      <c r="A48" s="2" t="s">
        <v>51</v>
      </c>
      <c r="B48" s="2" t="s">
        <v>51</v>
      </c>
      <c r="C48" s="3">
        <v>45478.787939814814</v>
      </c>
      <c r="D48" s="3" t="b">
        <f t="shared" si="2"/>
        <v>1</v>
      </c>
      <c r="E48" s="3" t="b">
        <f t="shared" si="3"/>
        <v>0</v>
      </c>
      <c r="F48" s="3" t="b">
        <f t="shared" ref="F48:G48" si="49">IF(ISNUMBER(SEARCH("Past Due",$A48)),TRUE,FALSE)</f>
        <v>0</v>
      </c>
      <c r="G48" s="3" t="b">
        <f t="shared" si="49"/>
        <v>0</v>
      </c>
      <c r="H48" s="2"/>
    </row>
    <row r="49" ht="15.75" customHeight="1">
      <c r="A49" s="2" t="s">
        <v>52</v>
      </c>
      <c r="B49" s="2" t="s">
        <v>52</v>
      </c>
      <c r="C49" s="2"/>
      <c r="D49" s="3" t="b">
        <f t="shared" si="2"/>
        <v>0</v>
      </c>
      <c r="E49" s="3" t="b">
        <f t="shared" si="3"/>
        <v>0</v>
      </c>
      <c r="F49" s="3" t="b">
        <f t="shared" ref="F49:G49" si="50">IF(ISNUMBER(SEARCH("Past Due",$A49)),TRUE,FALSE)</f>
        <v>0</v>
      </c>
      <c r="G49" s="3" t="b">
        <f t="shared" si="50"/>
        <v>0</v>
      </c>
      <c r="H49" s="2" t="s">
        <v>17</v>
      </c>
    </row>
    <row r="50" ht="15.75" customHeight="1">
      <c r="A50" s="2" t="s">
        <v>53</v>
      </c>
      <c r="B50" s="2" t="s">
        <v>53</v>
      </c>
      <c r="C50" s="3">
        <v>45570.77412037037</v>
      </c>
      <c r="D50" s="3" t="b">
        <f t="shared" si="2"/>
        <v>0</v>
      </c>
      <c r="E50" s="3" t="b">
        <f t="shared" si="3"/>
        <v>0</v>
      </c>
      <c r="F50" s="3" t="b">
        <f t="shared" ref="F50:G50" si="51">IF(ISNUMBER(SEARCH("Past Due",$A50)),TRUE,FALSE)</f>
        <v>0</v>
      </c>
      <c r="G50" s="3" t="b">
        <f t="shared" si="51"/>
        <v>0</v>
      </c>
      <c r="H50" s="2"/>
    </row>
    <row r="51" ht="15.75" customHeight="1">
      <c r="A51" s="2" t="s">
        <v>54</v>
      </c>
      <c r="B51" s="2" t="s">
        <v>54</v>
      </c>
      <c r="C51" s="2"/>
      <c r="D51" s="3" t="b">
        <f t="shared" si="2"/>
        <v>0</v>
      </c>
      <c r="E51" s="3" t="b">
        <f t="shared" si="3"/>
        <v>0</v>
      </c>
      <c r="F51" s="3" t="b">
        <f t="shared" ref="F51:G51" si="52">IF(ISNUMBER(SEARCH("Past Due",$A51)),TRUE,FALSE)</f>
        <v>0</v>
      </c>
      <c r="G51" s="3" t="b">
        <f t="shared" si="52"/>
        <v>0</v>
      </c>
      <c r="H51" s="2" t="s">
        <v>17</v>
      </c>
    </row>
    <row r="52" ht="15.75" customHeight="1">
      <c r="A52" s="2" t="s">
        <v>55</v>
      </c>
      <c r="B52" s="2" t="s">
        <v>55</v>
      </c>
      <c r="C52" s="3">
        <v>45601.77583333333</v>
      </c>
      <c r="D52" s="3" t="b">
        <f t="shared" si="2"/>
        <v>0</v>
      </c>
      <c r="E52" s="3" t="b">
        <f t="shared" si="3"/>
        <v>0</v>
      </c>
      <c r="F52" s="3" t="b">
        <f t="shared" ref="F52:G52" si="53">IF(ISNUMBER(SEARCH("Past Due",$A52)),TRUE,FALSE)</f>
        <v>0</v>
      </c>
      <c r="G52" s="3" t="b">
        <f t="shared" si="53"/>
        <v>0</v>
      </c>
      <c r="H52" s="2"/>
    </row>
    <row r="53" ht="15.75" customHeight="1">
      <c r="A53" s="2" t="s">
        <v>56</v>
      </c>
      <c r="B53" s="2" t="s">
        <v>56</v>
      </c>
      <c r="C53" s="2"/>
      <c r="D53" s="3" t="b">
        <f t="shared" si="2"/>
        <v>0</v>
      </c>
      <c r="E53" s="3" t="b">
        <f t="shared" si="3"/>
        <v>0</v>
      </c>
      <c r="F53" s="3" t="b">
        <f t="shared" ref="F53:G53" si="54">IF(ISNUMBER(SEARCH("Past Due",$A53)),TRUE,FALSE)</f>
        <v>0</v>
      </c>
      <c r="G53" s="3" t="b">
        <f t="shared" si="54"/>
        <v>0</v>
      </c>
      <c r="H53" s="2" t="s">
        <v>15</v>
      </c>
    </row>
    <row r="54" ht="15.75" customHeight="1">
      <c r="A54" s="2" t="s">
        <v>57</v>
      </c>
      <c r="B54" s="2" t="s">
        <v>57</v>
      </c>
      <c r="C54" s="2"/>
      <c r="D54" s="3" t="b">
        <f t="shared" si="2"/>
        <v>0</v>
      </c>
      <c r="E54" s="3" t="b">
        <f t="shared" si="3"/>
        <v>0</v>
      </c>
      <c r="F54" s="3" t="b">
        <f t="shared" ref="F54:G54" si="55">IF(ISNUMBER(SEARCH("Past Due",$A54)),TRUE,FALSE)</f>
        <v>0</v>
      </c>
      <c r="G54" s="3" t="b">
        <f t="shared" si="55"/>
        <v>0</v>
      </c>
      <c r="H54" s="2" t="s">
        <v>17</v>
      </c>
    </row>
    <row r="55" ht="15.75" customHeight="1">
      <c r="A55" s="2" t="s">
        <v>58</v>
      </c>
      <c r="B55" s="2" t="s">
        <v>58</v>
      </c>
      <c r="C55" s="3">
        <v>45540.76876157407</v>
      </c>
      <c r="D55" s="3" t="b">
        <f t="shared" si="2"/>
        <v>0</v>
      </c>
      <c r="E55" s="3" t="b">
        <f t="shared" si="3"/>
        <v>0</v>
      </c>
      <c r="F55" s="3" t="b">
        <f t="shared" ref="F55:G55" si="56">IF(ISNUMBER(SEARCH("Past Due",$A55)),TRUE,FALSE)</f>
        <v>0</v>
      </c>
      <c r="G55" s="3" t="b">
        <f t="shared" si="56"/>
        <v>0</v>
      </c>
      <c r="H55" s="2"/>
    </row>
    <row r="56" ht="15.75" customHeight="1">
      <c r="A56" s="2" t="s">
        <v>58</v>
      </c>
      <c r="B56" s="2" t="s">
        <v>58</v>
      </c>
      <c r="C56" s="3">
        <v>45601.8621875</v>
      </c>
      <c r="D56" s="3" t="b">
        <f t="shared" si="2"/>
        <v>0</v>
      </c>
      <c r="E56" s="3" t="b">
        <f t="shared" si="3"/>
        <v>0</v>
      </c>
      <c r="F56" s="3" t="b">
        <f t="shared" ref="F56:G56" si="57">IF(ISNUMBER(SEARCH("Past Due",$A56)),TRUE,FALSE)</f>
        <v>0</v>
      </c>
      <c r="G56" s="3" t="b">
        <f t="shared" si="57"/>
        <v>0</v>
      </c>
      <c r="H56" s="2"/>
    </row>
    <row r="57" ht="15.75" customHeight="1">
      <c r="A57" s="2" t="s">
        <v>59</v>
      </c>
      <c r="B57" s="2" t="s">
        <v>59</v>
      </c>
      <c r="C57" s="2"/>
      <c r="D57" s="3" t="b">
        <f t="shared" si="2"/>
        <v>0</v>
      </c>
      <c r="E57" s="3" t="b">
        <f t="shared" si="3"/>
        <v>0</v>
      </c>
      <c r="F57" s="3" t="b">
        <f t="shared" ref="F57:G57" si="58">IF(ISNUMBER(SEARCH("Past Due",$A57)),TRUE,FALSE)</f>
        <v>0</v>
      </c>
      <c r="G57" s="3" t="b">
        <f t="shared" si="58"/>
        <v>0</v>
      </c>
      <c r="H57" s="2" t="s">
        <v>11</v>
      </c>
    </row>
    <row r="58" ht="15.75" customHeight="1">
      <c r="A58" s="2" t="s">
        <v>59</v>
      </c>
      <c r="B58" s="2" t="s">
        <v>59</v>
      </c>
      <c r="C58" s="2"/>
      <c r="D58" s="3" t="b">
        <f t="shared" si="2"/>
        <v>0</v>
      </c>
      <c r="E58" s="3" t="b">
        <f t="shared" si="3"/>
        <v>0</v>
      </c>
      <c r="F58" s="3" t="b">
        <f t="shared" ref="F58:G58" si="59">IF(ISNUMBER(SEARCH("Past Due",$A58)),TRUE,FALSE)</f>
        <v>0</v>
      </c>
      <c r="G58" s="3" t="b">
        <f t="shared" si="59"/>
        <v>0</v>
      </c>
      <c r="H58" s="2" t="s">
        <v>11</v>
      </c>
    </row>
    <row r="59" ht="15.75" customHeight="1">
      <c r="A59" s="2" t="s">
        <v>59</v>
      </c>
      <c r="B59" s="2" t="s">
        <v>59</v>
      </c>
      <c r="C59" s="2"/>
      <c r="D59" s="3" t="b">
        <f t="shared" si="2"/>
        <v>0</v>
      </c>
      <c r="E59" s="3" t="b">
        <f t="shared" si="3"/>
        <v>0</v>
      </c>
      <c r="F59" s="3" t="b">
        <f t="shared" ref="F59:G59" si="60">IF(ISNUMBER(SEARCH("Past Due",$A59)),TRUE,FALSE)</f>
        <v>0</v>
      </c>
      <c r="G59" s="3" t="b">
        <f t="shared" si="60"/>
        <v>0</v>
      </c>
      <c r="H59" s="2" t="s">
        <v>15</v>
      </c>
    </row>
    <row r="60" ht="15.75" customHeight="1">
      <c r="A60" s="2" t="s">
        <v>60</v>
      </c>
      <c r="B60" s="2" t="s">
        <v>60</v>
      </c>
      <c r="C60" s="3">
        <v>45509.77422453704</v>
      </c>
      <c r="D60" s="3" t="b">
        <f t="shared" si="2"/>
        <v>0</v>
      </c>
      <c r="E60" s="3" t="b">
        <f t="shared" si="3"/>
        <v>0</v>
      </c>
      <c r="F60" s="3" t="b">
        <f t="shared" ref="F60:G60" si="61">IF(ISNUMBER(SEARCH("Past Due",$A60)),TRUE,FALSE)</f>
        <v>0</v>
      </c>
      <c r="G60" s="3" t="b">
        <f t="shared" si="61"/>
        <v>0</v>
      </c>
      <c r="H60" s="2"/>
    </row>
    <row r="61" ht="15.75" customHeight="1">
      <c r="A61" s="2" t="s">
        <v>60</v>
      </c>
      <c r="B61" s="2" t="s">
        <v>60</v>
      </c>
      <c r="C61" s="3">
        <v>45570.976006944446</v>
      </c>
      <c r="D61" s="3" t="b">
        <f t="shared" si="2"/>
        <v>0</v>
      </c>
      <c r="E61" s="3" t="b">
        <f t="shared" si="3"/>
        <v>0</v>
      </c>
      <c r="F61" s="3" t="b">
        <f t="shared" ref="F61:G61" si="62">IF(ISNUMBER(SEARCH("Past Due",$A61)),TRUE,FALSE)</f>
        <v>0</v>
      </c>
      <c r="G61" s="3" t="b">
        <f t="shared" si="62"/>
        <v>0</v>
      </c>
      <c r="H61" s="2"/>
    </row>
    <row r="62" ht="15.75" customHeight="1">
      <c r="A62" s="2" t="s">
        <v>61</v>
      </c>
      <c r="B62" s="2" t="s">
        <v>61</v>
      </c>
      <c r="C62" s="3">
        <v>45601.86238425926</v>
      </c>
      <c r="D62" s="3" t="b">
        <f t="shared" si="2"/>
        <v>0</v>
      </c>
      <c r="E62" s="3" t="b">
        <f t="shared" si="3"/>
        <v>0</v>
      </c>
      <c r="F62" s="3" t="b">
        <f t="shared" ref="F62:G62" si="63">IF(ISNUMBER(SEARCH("Past Due",$A62)),TRUE,FALSE)</f>
        <v>1</v>
      </c>
      <c r="G62" s="3" t="b">
        <f t="shared" si="63"/>
        <v>1</v>
      </c>
      <c r="H62" s="2" t="s">
        <v>15</v>
      </c>
    </row>
    <row r="63" ht="15.75" customHeight="1">
      <c r="A63" s="2" t="s">
        <v>62</v>
      </c>
      <c r="B63" s="2" t="s">
        <v>62</v>
      </c>
      <c r="C63" s="2"/>
      <c r="D63" s="3" t="b">
        <f t="shared" si="2"/>
        <v>0</v>
      </c>
      <c r="E63" s="3" t="b">
        <f t="shared" si="3"/>
        <v>0</v>
      </c>
      <c r="F63" s="3" t="b">
        <f t="shared" ref="F63:G63" si="64">IF(ISNUMBER(SEARCH("Past Due",$A63)),TRUE,FALSE)</f>
        <v>0</v>
      </c>
      <c r="G63" s="3" t="b">
        <f t="shared" si="64"/>
        <v>0</v>
      </c>
      <c r="H63" s="2" t="s">
        <v>11</v>
      </c>
    </row>
    <row r="64" ht="15.75" customHeight="1">
      <c r="A64" s="2" t="s">
        <v>62</v>
      </c>
      <c r="B64" s="2" t="s">
        <v>62</v>
      </c>
      <c r="C64" s="2"/>
      <c r="D64" s="3" t="b">
        <f t="shared" si="2"/>
        <v>0</v>
      </c>
      <c r="E64" s="3" t="b">
        <f t="shared" si="3"/>
        <v>0</v>
      </c>
      <c r="F64" s="3" t="b">
        <f t="shared" ref="F64:G64" si="65">IF(ISNUMBER(SEARCH("Past Due",$A64)),TRUE,FALSE)</f>
        <v>0</v>
      </c>
      <c r="G64" s="3" t="b">
        <f t="shared" si="65"/>
        <v>0</v>
      </c>
      <c r="H64" s="2" t="s">
        <v>11</v>
      </c>
    </row>
    <row r="65" ht="15.75" customHeight="1">
      <c r="A65" s="2" t="s">
        <v>62</v>
      </c>
      <c r="B65" s="2" t="s">
        <v>62</v>
      </c>
      <c r="C65" s="2"/>
      <c r="D65" s="3" t="b">
        <f t="shared" si="2"/>
        <v>0</v>
      </c>
      <c r="E65" s="3" t="b">
        <f t="shared" si="3"/>
        <v>0</v>
      </c>
      <c r="F65" s="3" t="b">
        <f t="shared" ref="F65:G65" si="66">IF(ISNUMBER(SEARCH("Past Due",$A65)),TRUE,FALSE)</f>
        <v>0</v>
      </c>
      <c r="G65" s="3" t="b">
        <f t="shared" si="66"/>
        <v>0</v>
      </c>
      <c r="H65" s="2" t="s">
        <v>11</v>
      </c>
    </row>
    <row r="66" ht="15.75" customHeight="1">
      <c r="A66" s="2" t="s">
        <v>63</v>
      </c>
      <c r="B66" s="2" t="s">
        <v>63</v>
      </c>
      <c r="C66" s="2"/>
      <c r="D66" s="3" t="b">
        <f t="shared" si="2"/>
        <v>0</v>
      </c>
      <c r="E66" s="3" t="b">
        <f t="shared" si="3"/>
        <v>0</v>
      </c>
      <c r="F66" s="3" t="b">
        <f t="shared" ref="F66:G66" si="67">IF(ISNUMBER(SEARCH("Past Due",$A66)),TRUE,FALSE)</f>
        <v>0</v>
      </c>
      <c r="G66" s="3" t="b">
        <f t="shared" si="67"/>
        <v>0</v>
      </c>
      <c r="H66" s="2" t="s">
        <v>17</v>
      </c>
    </row>
    <row r="67" ht="15.75" customHeight="1">
      <c r="A67" s="2" t="s">
        <v>64</v>
      </c>
      <c r="B67" s="2" t="s">
        <v>64</v>
      </c>
      <c r="C67" s="3">
        <v>45417.0</v>
      </c>
      <c r="D67" s="3" t="b">
        <f t="shared" si="2"/>
        <v>0</v>
      </c>
      <c r="E67" s="3" t="b">
        <f t="shared" si="3"/>
        <v>0</v>
      </c>
      <c r="F67" s="3" t="b">
        <f t="shared" ref="F67:G67" si="68">IF(ISNUMBER(SEARCH("Past Due",$A67)),TRUE,FALSE)</f>
        <v>0</v>
      </c>
      <c r="G67" s="3" t="b">
        <f t="shared" si="68"/>
        <v>0</v>
      </c>
      <c r="H67" s="2"/>
    </row>
    <row r="68" ht="15.75" customHeight="1">
      <c r="A68" s="2" t="s">
        <v>65</v>
      </c>
      <c r="B68" s="2" t="s">
        <v>65</v>
      </c>
      <c r="C68" s="3">
        <v>45448.833506944444</v>
      </c>
      <c r="D68" s="3" t="b">
        <f t="shared" si="2"/>
        <v>0</v>
      </c>
      <c r="E68" s="3" t="b">
        <f t="shared" si="3"/>
        <v>0</v>
      </c>
      <c r="F68" s="3" t="b">
        <f t="shared" ref="F68:G68" si="69">IF(ISNUMBER(SEARCH("Past Due",$A68)),TRUE,FALSE)</f>
        <v>1</v>
      </c>
      <c r="G68" s="3" t="b">
        <f t="shared" si="69"/>
        <v>1</v>
      </c>
      <c r="H68" s="2" t="s">
        <v>15</v>
      </c>
    </row>
    <row r="69" ht="15.75" customHeight="1">
      <c r="A69" s="2" t="s">
        <v>66</v>
      </c>
      <c r="B69" s="2" t="s">
        <v>66</v>
      </c>
      <c r="C69" s="3">
        <v>45601.771469907406</v>
      </c>
      <c r="D69" s="3" t="b">
        <f t="shared" si="2"/>
        <v>1</v>
      </c>
      <c r="E69" s="3" t="b">
        <f t="shared" si="3"/>
        <v>0</v>
      </c>
      <c r="F69" s="3" t="b">
        <f t="shared" ref="F69:G69" si="70">IF(ISNUMBER(SEARCH("Past Due",$A69)),TRUE,FALSE)</f>
        <v>0</v>
      </c>
      <c r="G69" s="3" t="b">
        <f t="shared" si="70"/>
        <v>0</v>
      </c>
      <c r="H69" s="2"/>
    </row>
    <row r="70" ht="15.75" customHeight="1">
      <c r="A70" s="2" t="s">
        <v>67</v>
      </c>
      <c r="B70" s="2" t="s">
        <v>67</v>
      </c>
      <c r="C70" s="3">
        <v>45509.77695601852</v>
      </c>
      <c r="D70" s="3" t="b">
        <f t="shared" si="2"/>
        <v>0</v>
      </c>
      <c r="E70" s="3" t="b">
        <f t="shared" si="3"/>
        <v>1</v>
      </c>
      <c r="F70" s="3" t="b">
        <f t="shared" ref="F70:G70" si="71">IF(ISNUMBER(SEARCH("Past Due",$A70)),TRUE,FALSE)</f>
        <v>0</v>
      </c>
      <c r="G70" s="3" t="b">
        <f t="shared" si="71"/>
        <v>0</v>
      </c>
      <c r="H70" s="2"/>
    </row>
    <row r="71" ht="15.75" customHeight="1">
      <c r="A71" s="2" t="s">
        <v>68</v>
      </c>
      <c r="B71" s="2" t="s">
        <v>68</v>
      </c>
      <c r="C71" s="2"/>
      <c r="D71" s="3" t="b">
        <f t="shared" si="2"/>
        <v>0</v>
      </c>
      <c r="E71" s="3" t="b">
        <f t="shared" si="3"/>
        <v>0</v>
      </c>
      <c r="F71" s="3" t="b">
        <f t="shared" ref="F71:G71" si="72">IF(ISNUMBER(SEARCH("Past Due",$A71)),TRUE,FALSE)</f>
        <v>0</v>
      </c>
      <c r="G71" s="3" t="b">
        <f t="shared" si="72"/>
        <v>0</v>
      </c>
      <c r="H71" s="2" t="s">
        <v>17</v>
      </c>
    </row>
    <row r="72" ht="15.75" customHeight="1">
      <c r="A72" s="2" t="s">
        <v>69</v>
      </c>
      <c r="B72" s="2" t="s">
        <v>69</v>
      </c>
      <c r="C72" s="3">
        <v>45478.76194444444</v>
      </c>
      <c r="D72" s="3" t="b">
        <f t="shared" si="2"/>
        <v>0</v>
      </c>
      <c r="E72" s="3" t="b">
        <f t="shared" si="3"/>
        <v>0</v>
      </c>
      <c r="F72" s="3" t="b">
        <f t="shared" ref="F72:G72" si="73">IF(ISNUMBER(SEARCH("Past Due",$A72)),TRUE,FALSE)</f>
        <v>0</v>
      </c>
      <c r="G72" s="3" t="b">
        <f t="shared" si="73"/>
        <v>0</v>
      </c>
      <c r="H72" s="2"/>
    </row>
    <row r="73" ht="15.75" customHeight="1">
      <c r="A73" s="2" t="s">
        <v>70</v>
      </c>
      <c r="B73" s="2" t="s">
        <v>70</v>
      </c>
      <c r="C73" s="2"/>
      <c r="D73" s="3" t="b">
        <f t="shared" si="2"/>
        <v>0</v>
      </c>
      <c r="E73" s="3" t="b">
        <f t="shared" si="3"/>
        <v>0</v>
      </c>
      <c r="F73" s="3" t="b">
        <f t="shared" ref="F73:G73" si="74">IF(ISNUMBER(SEARCH("Past Due",$A73)),TRUE,FALSE)</f>
        <v>0</v>
      </c>
      <c r="G73" s="3" t="b">
        <f t="shared" si="74"/>
        <v>0</v>
      </c>
      <c r="H73" s="2"/>
    </row>
    <row r="74" ht="15.75" customHeight="1">
      <c r="A74" s="2" t="s">
        <v>71</v>
      </c>
      <c r="B74" s="2" t="s">
        <v>71</v>
      </c>
      <c r="C74" s="2"/>
      <c r="D74" s="3" t="b">
        <f t="shared" si="2"/>
        <v>0</v>
      </c>
      <c r="E74" s="3" t="b">
        <f t="shared" si="3"/>
        <v>0</v>
      </c>
      <c r="F74" s="3" t="b">
        <f t="shared" ref="F74:G74" si="75">IF(ISNUMBER(SEARCH("Past Due",$A74)),TRUE,FALSE)</f>
        <v>0</v>
      </c>
      <c r="G74" s="3" t="b">
        <f t="shared" si="75"/>
        <v>0</v>
      </c>
      <c r="H74" s="2"/>
    </row>
    <row r="75" ht="15.75" customHeight="1">
      <c r="A75" s="2" t="s">
        <v>72</v>
      </c>
      <c r="B75" s="2" t="s">
        <v>72</v>
      </c>
      <c r="C75" s="2"/>
      <c r="D75" s="3" t="b">
        <f t="shared" si="2"/>
        <v>0</v>
      </c>
      <c r="E75" s="3" t="b">
        <f t="shared" si="3"/>
        <v>0</v>
      </c>
      <c r="F75" s="3" t="b">
        <f t="shared" ref="F75:G75" si="76">IF(ISNUMBER(SEARCH("Past Due",$A75)),TRUE,FALSE)</f>
        <v>0</v>
      </c>
      <c r="G75" s="3" t="b">
        <f t="shared" si="76"/>
        <v>0</v>
      </c>
      <c r="H75" s="2"/>
    </row>
    <row r="76" ht="15.75" customHeight="1">
      <c r="A76" s="2" t="s">
        <v>73</v>
      </c>
      <c r="B76" s="2" t="s">
        <v>73</v>
      </c>
      <c r="C76" s="2"/>
      <c r="D76" s="3" t="b">
        <f t="shared" si="2"/>
        <v>0</v>
      </c>
      <c r="E76" s="3" t="b">
        <f t="shared" si="3"/>
        <v>0</v>
      </c>
      <c r="F76" s="3" t="b">
        <f t="shared" ref="F76:G76" si="77">IF(ISNUMBER(SEARCH("Past Due",$A76)),TRUE,FALSE)</f>
        <v>0</v>
      </c>
      <c r="G76" s="3" t="b">
        <f t="shared" si="77"/>
        <v>0</v>
      </c>
      <c r="H76" s="2"/>
    </row>
    <row r="77" ht="15.75" customHeight="1">
      <c r="A77" s="2" t="s">
        <v>74</v>
      </c>
      <c r="B77" s="2" t="s">
        <v>74</v>
      </c>
      <c r="C77" s="2"/>
      <c r="D77" s="3" t="b">
        <f t="shared" si="2"/>
        <v>0</v>
      </c>
      <c r="E77" s="3" t="b">
        <f t="shared" si="3"/>
        <v>0</v>
      </c>
      <c r="F77" s="3" t="b">
        <f t="shared" ref="F77:G77" si="78">IF(ISNUMBER(SEARCH("Past Due",$A77)),TRUE,FALSE)</f>
        <v>0</v>
      </c>
      <c r="G77" s="3" t="b">
        <f t="shared" si="78"/>
        <v>0</v>
      </c>
      <c r="H77" s="2"/>
    </row>
    <row r="78" ht="15.75" customHeight="1">
      <c r="A78" s="2" t="s">
        <v>75</v>
      </c>
      <c r="B78" s="2" t="s">
        <v>75</v>
      </c>
      <c r="C78" s="2"/>
      <c r="D78" s="3" t="b">
        <f t="shared" si="2"/>
        <v>0</v>
      </c>
      <c r="E78" s="3" t="b">
        <f t="shared" si="3"/>
        <v>0</v>
      </c>
      <c r="F78" s="3" t="b">
        <f t="shared" ref="F78:G78" si="79">IF(ISNUMBER(SEARCH("Past Due",$A78)),TRUE,FALSE)</f>
        <v>0</v>
      </c>
      <c r="G78" s="3" t="b">
        <f t="shared" si="79"/>
        <v>0</v>
      </c>
      <c r="H78" s="2" t="s">
        <v>11</v>
      </c>
    </row>
    <row r="79" ht="15.75" customHeight="1">
      <c r="A79" s="2" t="s">
        <v>76</v>
      </c>
      <c r="B79" s="2" t="s">
        <v>76</v>
      </c>
      <c r="C79" s="2"/>
      <c r="D79" s="3" t="b">
        <f t="shared" si="2"/>
        <v>0</v>
      </c>
      <c r="E79" s="3" t="b">
        <f t="shared" si="3"/>
        <v>0</v>
      </c>
      <c r="F79" s="3" t="b">
        <f t="shared" ref="F79:G79" si="80">IF(ISNUMBER(SEARCH("Past Due",$A79)),TRUE,FALSE)</f>
        <v>0</v>
      </c>
      <c r="G79" s="3" t="b">
        <f t="shared" si="80"/>
        <v>0</v>
      </c>
      <c r="H79" s="2" t="s">
        <v>11</v>
      </c>
    </row>
    <row r="80" ht="15.75" customHeight="1">
      <c r="A80" s="2" t="s">
        <v>77</v>
      </c>
      <c r="B80" s="2" t="s">
        <v>77</v>
      </c>
      <c r="C80" s="2" t="s">
        <v>2</v>
      </c>
      <c r="D80" s="3" t="b">
        <f t="shared" si="2"/>
        <v>0</v>
      </c>
      <c r="E80" s="3" t="b">
        <f t="shared" si="3"/>
        <v>0</v>
      </c>
      <c r="F80" s="3" t="b">
        <f t="shared" ref="F80:G80" si="81">IF(ISNUMBER(SEARCH("Past Due",$A80)),TRUE,FALSE)</f>
        <v>0</v>
      </c>
      <c r="G80" s="3" t="b">
        <f t="shared" si="81"/>
        <v>0</v>
      </c>
      <c r="H80" s="2" t="s">
        <v>7</v>
      </c>
    </row>
    <row r="81" ht="15.75" customHeight="1">
      <c r="A81" s="2" t="s">
        <v>78</v>
      </c>
      <c r="B81" s="2" t="s">
        <v>78</v>
      </c>
      <c r="C81" s="2" t="s">
        <v>2</v>
      </c>
      <c r="D81" s="3" t="b">
        <f t="shared" si="2"/>
        <v>0</v>
      </c>
      <c r="E81" s="3" t="b">
        <f t="shared" si="3"/>
        <v>0</v>
      </c>
      <c r="F81" s="3" t="b">
        <f t="shared" ref="F81:G81" si="82">IF(ISNUMBER(SEARCH("Past Due",$A81)),TRUE,FALSE)</f>
        <v>0</v>
      </c>
      <c r="G81" s="3" t="b">
        <f t="shared" si="82"/>
        <v>0</v>
      </c>
      <c r="H81" s="2" t="s">
        <v>7</v>
      </c>
    </row>
    <row r="82" ht="15.75" customHeight="1">
      <c r="A82" s="2" t="s">
        <v>79</v>
      </c>
      <c r="B82" s="2" t="s">
        <v>79</v>
      </c>
      <c r="C82" s="2" t="s">
        <v>2</v>
      </c>
      <c r="D82" s="3" t="b">
        <f t="shared" si="2"/>
        <v>0</v>
      </c>
      <c r="E82" s="3" t="b">
        <f t="shared" si="3"/>
        <v>0</v>
      </c>
      <c r="F82" s="3" t="b">
        <f t="shared" ref="F82:G82" si="83">IF(ISNUMBER(SEARCH("Past Due",$A82)),TRUE,FALSE)</f>
        <v>0</v>
      </c>
      <c r="G82" s="3" t="b">
        <f t="shared" si="83"/>
        <v>0</v>
      </c>
      <c r="H82" s="2" t="s">
        <v>7</v>
      </c>
    </row>
    <row r="83" ht="15.75" customHeight="1">
      <c r="A83" s="2" t="s">
        <v>80</v>
      </c>
      <c r="B83" s="2" t="s">
        <v>80</v>
      </c>
      <c r="C83" s="2" t="s">
        <v>2</v>
      </c>
      <c r="D83" s="3" t="b">
        <f t="shared" si="2"/>
        <v>0</v>
      </c>
      <c r="E83" s="3" t="b">
        <f t="shared" si="3"/>
        <v>0</v>
      </c>
      <c r="F83" s="3" t="b">
        <f t="shared" ref="F83:G83" si="84">IF(ISNUMBER(SEARCH("Past Due",$A83)),TRUE,FALSE)</f>
        <v>0</v>
      </c>
      <c r="G83" s="3" t="b">
        <f t="shared" si="84"/>
        <v>0</v>
      </c>
      <c r="H83" s="2" t="s">
        <v>7</v>
      </c>
    </row>
    <row r="84" ht="15.75" customHeight="1">
      <c r="A84" s="2" t="s">
        <v>81</v>
      </c>
      <c r="B84" s="2" t="s">
        <v>81</v>
      </c>
      <c r="C84" s="2" t="s">
        <v>2</v>
      </c>
      <c r="D84" s="3" t="b">
        <f t="shared" si="2"/>
        <v>0</v>
      </c>
      <c r="E84" s="3" t="b">
        <f t="shared" si="3"/>
        <v>0</v>
      </c>
      <c r="F84" s="3" t="b">
        <f t="shared" ref="F84:G84" si="85">IF(ISNUMBER(SEARCH("Past Due",$A84)),TRUE,FALSE)</f>
        <v>0</v>
      </c>
      <c r="G84" s="3" t="b">
        <f t="shared" si="85"/>
        <v>0</v>
      </c>
      <c r="H84" s="2" t="s">
        <v>7</v>
      </c>
      <c r="I84" s="5">
        <v>1832.0</v>
      </c>
    </row>
    <row r="85" ht="15.75" customHeight="1">
      <c r="A85" s="2" t="s">
        <v>82</v>
      </c>
      <c r="B85" s="2" t="s">
        <v>82</v>
      </c>
      <c r="C85" s="2"/>
      <c r="D85" s="3" t="b">
        <f t="shared" si="2"/>
        <v>0</v>
      </c>
      <c r="E85" s="3" t="b">
        <f t="shared" si="3"/>
        <v>0</v>
      </c>
      <c r="F85" s="3" t="b">
        <f t="shared" ref="F85:G85" si="86">IF(ISNUMBER(SEARCH("Past Due",$A85)),TRUE,FALSE)</f>
        <v>0</v>
      </c>
      <c r="G85" s="3" t="b">
        <f t="shared" si="86"/>
        <v>0</v>
      </c>
      <c r="H85" s="2" t="s">
        <v>11</v>
      </c>
      <c r="I85" s="5">
        <v>1832.0</v>
      </c>
    </row>
    <row r="86" ht="15.75" customHeight="1">
      <c r="A86" s="2" t="s">
        <v>82</v>
      </c>
      <c r="B86" s="2" t="s">
        <v>82</v>
      </c>
      <c r="C86" s="2"/>
      <c r="D86" s="3" t="b">
        <f t="shared" si="2"/>
        <v>0</v>
      </c>
      <c r="E86" s="3" t="b">
        <f t="shared" si="3"/>
        <v>0</v>
      </c>
      <c r="F86" s="3" t="b">
        <f t="shared" ref="F86:G86" si="87">IF(ISNUMBER(SEARCH("Past Due",$A86)),TRUE,FALSE)</f>
        <v>0</v>
      </c>
      <c r="G86" s="3" t="b">
        <f t="shared" si="87"/>
        <v>0</v>
      </c>
      <c r="H86" s="2" t="s">
        <v>11</v>
      </c>
      <c r="I86" s="5">
        <v>1832.0</v>
      </c>
    </row>
    <row r="87" ht="15.75" customHeight="1">
      <c r="A87" s="2" t="s">
        <v>82</v>
      </c>
      <c r="B87" s="2" t="s">
        <v>82</v>
      </c>
      <c r="C87" s="2"/>
      <c r="D87" s="3" t="b">
        <f t="shared" si="2"/>
        <v>0</v>
      </c>
      <c r="E87" s="3" t="b">
        <f t="shared" si="3"/>
        <v>0</v>
      </c>
      <c r="F87" s="3" t="b">
        <f t="shared" ref="F87:G87" si="88">IF(ISNUMBER(SEARCH("Past Due",$A87)),TRUE,FALSE)</f>
        <v>0</v>
      </c>
      <c r="G87" s="3" t="b">
        <f t="shared" si="88"/>
        <v>0</v>
      </c>
      <c r="H87" s="2" t="s">
        <v>15</v>
      </c>
      <c r="I87" s="5">
        <v>1832.0</v>
      </c>
    </row>
    <row r="88" ht="15.75" customHeight="1">
      <c r="A88" s="2" t="s">
        <v>83</v>
      </c>
      <c r="B88" s="2" t="s">
        <v>83</v>
      </c>
      <c r="C88" s="3">
        <v>45417.0</v>
      </c>
      <c r="D88" s="3" t="b">
        <f t="shared" si="2"/>
        <v>0</v>
      </c>
      <c r="E88" s="3" t="b">
        <f t="shared" si="3"/>
        <v>0</v>
      </c>
      <c r="F88" s="3" t="b">
        <f t="shared" ref="F88:G88" si="89">IF(ISNUMBER(SEARCH("Past Due",$A88)),TRUE,FALSE)</f>
        <v>0</v>
      </c>
      <c r="G88" s="3" t="b">
        <f t="shared" si="89"/>
        <v>0</v>
      </c>
      <c r="H88" s="2" t="s">
        <v>9</v>
      </c>
      <c r="I88" s="5">
        <v>1832.0</v>
      </c>
    </row>
    <row r="89" ht="15.75" customHeight="1">
      <c r="A89" s="2" t="s">
        <v>84</v>
      </c>
      <c r="B89" s="2" t="s">
        <v>84</v>
      </c>
      <c r="C89" s="2"/>
      <c r="D89" s="3" t="b">
        <f t="shared" si="2"/>
        <v>0</v>
      </c>
      <c r="E89" s="3" t="b">
        <f t="shared" si="3"/>
        <v>0</v>
      </c>
      <c r="F89" s="3" t="b">
        <f t="shared" ref="F89:G89" si="90">IF(ISNUMBER(SEARCH("Past Due",$A89)),TRUE,FALSE)</f>
        <v>0</v>
      </c>
      <c r="G89" s="3" t="b">
        <f t="shared" si="90"/>
        <v>0</v>
      </c>
      <c r="H89" s="2" t="s">
        <v>17</v>
      </c>
      <c r="I89" s="5">
        <v>1832.0</v>
      </c>
    </row>
    <row r="90" ht="15.75" customHeight="1">
      <c r="A90" s="2" t="s">
        <v>85</v>
      </c>
      <c r="B90" s="2" t="s">
        <v>85</v>
      </c>
      <c r="C90" s="3">
        <v>45478.936736111114</v>
      </c>
      <c r="D90" s="3" t="b">
        <f t="shared" si="2"/>
        <v>0</v>
      </c>
      <c r="E90" s="3" t="b">
        <f t="shared" si="3"/>
        <v>0</v>
      </c>
      <c r="F90" s="3" t="b">
        <f t="shared" ref="F90:G90" si="91">IF(ISNUMBER(SEARCH("Past Due",$A90)),TRUE,FALSE)</f>
        <v>0</v>
      </c>
      <c r="G90" s="3" t="b">
        <f t="shared" si="91"/>
        <v>0</v>
      </c>
      <c r="H90" s="2" t="s">
        <v>9</v>
      </c>
    </row>
    <row r="91" ht="15.75" customHeight="1">
      <c r="A91" s="2" t="s">
        <v>86</v>
      </c>
      <c r="B91" s="2" t="s">
        <v>86</v>
      </c>
      <c r="C91" s="3">
        <v>45509.845972222225</v>
      </c>
      <c r="D91" s="3" t="b">
        <f t="shared" si="2"/>
        <v>0</v>
      </c>
      <c r="E91" s="3" t="b">
        <f t="shared" si="3"/>
        <v>0</v>
      </c>
      <c r="F91" s="3" t="b">
        <f t="shared" ref="F91:G91" si="92">IF(ISNUMBER(SEARCH("Past Due",$A91)),TRUE,FALSE)</f>
        <v>1</v>
      </c>
      <c r="G91" s="3" t="b">
        <f t="shared" si="92"/>
        <v>1</v>
      </c>
      <c r="H91" s="2" t="s">
        <v>15</v>
      </c>
    </row>
    <row r="92" ht="15.75" customHeight="1">
      <c r="A92" s="2" t="s">
        <v>87</v>
      </c>
      <c r="B92" s="2" t="s">
        <v>87</v>
      </c>
      <c r="C92" s="3">
        <v>45570.791967592595</v>
      </c>
      <c r="D92" s="3" t="b">
        <f t="shared" si="2"/>
        <v>0</v>
      </c>
      <c r="E92" s="3" t="b">
        <f t="shared" si="3"/>
        <v>1</v>
      </c>
      <c r="F92" s="3" t="b">
        <f t="shared" ref="F92:G92" si="93">IF(ISNUMBER(SEARCH("Past Due",$A92)),TRUE,FALSE)</f>
        <v>0</v>
      </c>
      <c r="G92" s="3" t="b">
        <f t="shared" si="93"/>
        <v>0</v>
      </c>
      <c r="H92" s="2"/>
    </row>
    <row r="93" ht="15.75" customHeight="1">
      <c r="A93" s="2" t="s">
        <v>88</v>
      </c>
      <c r="B93" s="2" t="s">
        <v>88</v>
      </c>
      <c r="C93" s="2"/>
      <c r="D93" s="3" t="b">
        <f t="shared" si="2"/>
        <v>0</v>
      </c>
      <c r="E93" s="3" t="b">
        <f t="shared" si="3"/>
        <v>0</v>
      </c>
      <c r="F93" s="3" t="b">
        <f t="shared" ref="F93:G93" si="94">IF(ISNUMBER(SEARCH("Past Due",$A93)),TRUE,FALSE)</f>
        <v>0</v>
      </c>
      <c r="G93" s="3" t="b">
        <f t="shared" si="94"/>
        <v>0</v>
      </c>
      <c r="H93" s="2" t="s">
        <v>11</v>
      </c>
    </row>
    <row r="94" ht="15.75" customHeight="1">
      <c r="A94" s="2" t="s">
        <v>89</v>
      </c>
      <c r="B94" s="2" t="s">
        <v>89</v>
      </c>
      <c r="C94" s="2"/>
      <c r="D94" s="3" t="b">
        <f t="shared" si="2"/>
        <v>0</v>
      </c>
      <c r="E94" s="3" t="b">
        <f t="shared" si="3"/>
        <v>0</v>
      </c>
      <c r="F94" s="3" t="b">
        <f t="shared" ref="F94:G94" si="95">IF(ISNUMBER(SEARCH("Past Due",$A94)),TRUE,FALSE)</f>
        <v>0</v>
      </c>
      <c r="G94" s="3" t="b">
        <f t="shared" si="95"/>
        <v>0</v>
      </c>
      <c r="H94" s="2" t="s">
        <v>17</v>
      </c>
    </row>
    <row r="95" ht="15.75" customHeight="1">
      <c r="A95" s="2" t="s">
        <v>90</v>
      </c>
      <c r="B95" s="2" t="s">
        <v>90</v>
      </c>
      <c r="C95" s="3">
        <v>45540.75881944445</v>
      </c>
      <c r="D95" s="3" t="b">
        <f t="shared" si="2"/>
        <v>0</v>
      </c>
      <c r="E95" s="3" t="b">
        <f t="shared" si="3"/>
        <v>0</v>
      </c>
      <c r="F95" s="3" t="b">
        <f t="shared" ref="F95:G95" si="96">IF(ISNUMBER(SEARCH("Past Due",$A95)),TRUE,FALSE)</f>
        <v>0</v>
      </c>
      <c r="G95" s="3" t="b">
        <f t="shared" si="96"/>
        <v>0</v>
      </c>
      <c r="H95" s="2"/>
    </row>
    <row r="96" ht="15.75" customHeight="1">
      <c r="A96" s="2" t="s">
        <v>90</v>
      </c>
      <c r="B96" s="2" t="s">
        <v>90</v>
      </c>
      <c r="C96" s="3">
        <v>45601.91216435185</v>
      </c>
      <c r="D96" s="3" t="b">
        <f t="shared" si="2"/>
        <v>0</v>
      </c>
      <c r="E96" s="3" t="b">
        <f t="shared" si="3"/>
        <v>0</v>
      </c>
      <c r="F96" s="3" t="b">
        <f t="shared" ref="F96:G96" si="97">IF(ISNUMBER(SEARCH("Past Due",$A96)),TRUE,FALSE)</f>
        <v>0</v>
      </c>
      <c r="G96" s="3" t="b">
        <f t="shared" si="97"/>
        <v>0</v>
      </c>
      <c r="H96" s="2"/>
    </row>
    <row r="97" ht="15.75" customHeight="1">
      <c r="A97" s="2" t="s">
        <v>91</v>
      </c>
      <c r="B97" s="2" t="s">
        <v>91</v>
      </c>
      <c r="C97" s="3">
        <v>45570.76707175926</v>
      </c>
      <c r="D97" s="3" t="b">
        <f t="shared" si="2"/>
        <v>0</v>
      </c>
      <c r="E97" s="3" t="b">
        <f t="shared" si="3"/>
        <v>0</v>
      </c>
      <c r="F97" s="3" t="b">
        <f t="shared" ref="F97:G97" si="98">IF(ISNUMBER(SEARCH("Past Due",$A97)),TRUE,FALSE)</f>
        <v>0</v>
      </c>
      <c r="G97" s="3" t="b">
        <f t="shared" si="98"/>
        <v>0</v>
      </c>
      <c r="H97" s="2"/>
    </row>
    <row r="98" ht="15.75" customHeight="1">
      <c r="A98" s="2" t="s">
        <v>92</v>
      </c>
      <c r="B98" s="2" t="s">
        <v>92</v>
      </c>
      <c r="C98" s="2"/>
      <c r="D98" s="3" t="b">
        <f t="shared" si="2"/>
        <v>0</v>
      </c>
      <c r="E98" s="3" t="b">
        <f t="shared" si="3"/>
        <v>0</v>
      </c>
      <c r="F98" s="3" t="b">
        <f t="shared" ref="F98:G98" si="99">IF(ISNUMBER(SEARCH("Past Due",$A98)),TRUE,FALSE)</f>
        <v>0</v>
      </c>
      <c r="G98" s="3" t="b">
        <f t="shared" si="99"/>
        <v>0</v>
      </c>
      <c r="H98" s="2" t="s">
        <v>11</v>
      </c>
    </row>
    <row r="99" ht="15.75" customHeight="1">
      <c r="A99" s="2" t="s">
        <v>92</v>
      </c>
      <c r="B99" s="2" t="s">
        <v>92</v>
      </c>
      <c r="C99" s="2"/>
      <c r="D99" s="3" t="b">
        <f t="shared" si="2"/>
        <v>0</v>
      </c>
      <c r="E99" s="3" t="b">
        <f t="shared" si="3"/>
        <v>0</v>
      </c>
      <c r="F99" s="3" t="b">
        <f t="shared" ref="F99:G99" si="100">IF(ISNUMBER(SEARCH("Past Due",$A99)),TRUE,FALSE)</f>
        <v>0</v>
      </c>
      <c r="G99" s="3" t="b">
        <f t="shared" si="100"/>
        <v>0</v>
      </c>
      <c r="H99" s="2" t="s">
        <v>15</v>
      </c>
    </row>
    <row r="100" ht="15.75" customHeight="1">
      <c r="A100" s="2" t="s">
        <v>93</v>
      </c>
      <c r="B100" s="2" t="s">
        <v>93</v>
      </c>
      <c r="C100" s="2"/>
      <c r="D100" s="3" t="b">
        <f t="shared" si="2"/>
        <v>0</v>
      </c>
      <c r="E100" s="3" t="b">
        <f t="shared" si="3"/>
        <v>0</v>
      </c>
      <c r="F100" s="3" t="b">
        <f t="shared" ref="F100:G100" si="101">IF(ISNUMBER(SEARCH("Past Due",$A100)),TRUE,FALSE)</f>
        <v>0</v>
      </c>
      <c r="G100" s="3" t="b">
        <f t="shared" si="101"/>
        <v>0</v>
      </c>
      <c r="H100" s="2" t="s">
        <v>17</v>
      </c>
    </row>
    <row r="101" ht="15.75" customHeight="1">
      <c r="A101" s="2" t="s">
        <v>94</v>
      </c>
      <c r="B101" s="2" t="s">
        <v>94</v>
      </c>
      <c r="C101" s="3">
        <v>45448.90451388889</v>
      </c>
      <c r="D101" s="3" t="b">
        <f t="shared" si="2"/>
        <v>0</v>
      </c>
      <c r="E101" s="3" t="b">
        <f t="shared" si="3"/>
        <v>0</v>
      </c>
      <c r="F101" s="3" t="b">
        <f t="shared" ref="F101:G101" si="102">IF(ISNUMBER(SEARCH("Past Due",$A101)),TRUE,FALSE)</f>
        <v>0</v>
      </c>
      <c r="G101" s="3" t="b">
        <f t="shared" si="102"/>
        <v>0</v>
      </c>
      <c r="H101" s="2"/>
    </row>
    <row r="102" ht="15.75" customHeight="1">
      <c r="A102" s="2" t="s">
        <v>95</v>
      </c>
      <c r="B102" s="2" t="s">
        <v>95</v>
      </c>
      <c r="C102" s="3">
        <v>45478.839467592596</v>
      </c>
      <c r="D102" s="3" t="b">
        <f t="shared" si="2"/>
        <v>0</v>
      </c>
      <c r="E102" s="3" t="b">
        <f t="shared" si="3"/>
        <v>0</v>
      </c>
      <c r="F102" s="3" t="b">
        <f t="shared" ref="F102:G102" si="103">IF(ISNUMBER(SEARCH("Past Due",$A102)),TRUE,FALSE)</f>
        <v>1</v>
      </c>
      <c r="G102" s="3" t="b">
        <f t="shared" si="103"/>
        <v>1</v>
      </c>
      <c r="H102" s="2" t="s">
        <v>15</v>
      </c>
    </row>
    <row r="103" ht="15.75" customHeight="1">
      <c r="A103" s="2" t="s">
        <v>96</v>
      </c>
      <c r="B103" s="2" t="s">
        <v>96</v>
      </c>
      <c r="C103" s="3">
        <v>45540.78574074074</v>
      </c>
      <c r="D103" s="3" t="b">
        <f t="shared" si="2"/>
        <v>0</v>
      </c>
      <c r="E103" s="3" t="b">
        <f t="shared" si="3"/>
        <v>1</v>
      </c>
      <c r="F103" s="3" t="b">
        <f t="shared" ref="F103:G103" si="104">IF(ISNUMBER(SEARCH("Past Due",$A103)),TRUE,FALSE)</f>
        <v>0</v>
      </c>
      <c r="G103" s="3" t="b">
        <f t="shared" si="104"/>
        <v>0</v>
      </c>
      <c r="H103" s="2"/>
    </row>
    <row r="104" ht="15.75" customHeight="1">
      <c r="A104" s="2" t="s">
        <v>97</v>
      </c>
      <c r="B104" s="2" t="s">
        <v>97</v>
      </c>
      <c r="C104" s="2"/>
      <c r="D104" s="3" t="b">
        <f t="shared" si="2"/>
        <v>0</v>
      </c>
      <c r="E104" s="3" t="b">
        <f t="shared" si="3"/>
        <v>0</v>
      </c>
      <c r="F104" s="3" t="b">
        <f t="shared" ref="F104:G104" si="105">IF(ISNUMBER(SEARCH("Past Due",$A104)),TRUE,FALSE)</f>
        <v>0</v>
      </c>
      <c r="G104" s="3" t="b">
        <f t="shared" si="105"/>
        <v>0</v>
      </c>
      <c r="H104" s="2" t="s">
        <v>11</v>
      </c>
    </row>
    <row r="105" ht="15.75" customHeight="1">
      <c r="A105" s="2" t="s">
        <v>98</v>
      </c>
      <c r="B105" s="2" t="s">
        <v>98</v>
      </c>
      <c r="C105" s="3">
        <v>45417.0</v>
      </c>
      <c r="D105" s="3" t="b">
        <f t="shared" si="2"/>
        <v>0</v>
      </c>
      <c r="E105" s="3" t="b">
        <f t="shared" si="3"/>
        <v>0</v>
      </c>
      <c r="F105" s="3" t="b">
        <f t="shared" ref="F105:G105" si="106">IF(ISNUMBER(SEARCH("Past Due",$A105)),TRUE,FALSE)</f>
        <v>0</v>
      </c>
      <c r="G105" s="3" t="b">
        <f t="shared" si="106"/>
        <v>0</v>
      </c>
      <c r="H105" s="2"/>
    </row>
    <row r="106" ht="15.75" customHeight="1">
      <c r="A106" s="2" t="s">
        <v>99</v>
      </c>
      <c r="B106" s="2" t="s">
        <v>99</v>
      </c>
      <c r="C106" s="2"/>
      <c r="D106" s="3" t="b">
        <f t="shared" si="2"/>
        <v>0</v>
      </c>
      <c r="E106" s="3" t="b">
        <f t="shared" si="3"/>
        <v>0</v>
      </c>
      <c r="F106" s="3" t="b">
        <f t="shared" ref="F106:G106" si="107">IF(ISNUMBER(SEARCH("Past Due",$A106)),TRUE,FALSE)</f>
        <v>0</v>
      </c>
      <c r="G106" s="3" t="b">
        <f t="shared" si="107"/>
        <v>0</v>
      </c>
      <c r="H106" s="2" t="s">
        <v>11</v>
      </c>
    </row>
    <row r="107" ht="15.75" customHeight="1">
      <c r="A107" s="2" t="s">
        <v>99</v>
      </c>
      <c r="B107" s="2" t="s">
        <v>99</v>
      </c>
      <c r="C107" s="2"/>
      <c r="D107" s="3" t="b">
        <f t="shared" si="2"/>
        <v>0</v>
      </c>
      <c r="E107" s="3" t="b">
        <f t="shared" si="3"/>
        <v>0</v>
      </c>
      <c r="F107" s="3" t="b">
        <f t="shared" ref="F107:G107" si="108">IF(ISNUMBER(SEARCH("Past Due",$A107)),TRUE,FALSE)</f>
        <v>0</v>
      </c>
      <c r="G107" s="3" t="b">
        <f t="shared" si="108"/>
        <v>0</v>
      </c>
      <c r="H107" s="2" t="s">
        <v>15</v>
      </c>
    </row>
    <row r="108" ht="15.75" customHeight="1">
      <c r="A108" s="2" t="s">
        <v>100</v>
      </c>
      <c r="B108" s="2" t="s">
        <v>100</v>
      </c>
      <c r="C108" s="3">
        <v>45448.917916666665</v>
      </c>
      <c r="D108" s="3" t="b">
        <f t="shared" si="2"/>
        <v>0</v>
      </c>
      <c r="E108" s="3" t="b">
        <f t="shared" si="3"/>
        <v>0</v>
      </c>
      <c r="F108" s="3" t="b">
        <f t="shared" ref="F108:G108" si="109">IF(ISNUMBER(SEARCH("Past Due",$A108)),TRUE,FALSE)</f>
        <v>0</v>
      </c>
      <c r="G108" s="3" t="b">
        <f t="shared" si="109"/>
        <v>0</v>
      </c>
      <c r="H108" s="2"/>
    </row>
    <row r="109" ht="15.75" customHeight="1">
      <c r="A109" s="2" t="s">
        <v>101</v>
      </c>
      <c r="B109" s="2" t="s">
        <v>101</v>
      </c>
      <c r="C109" s="3">
        <v>45478.849641203706</v>
      </c>
      <c r="D109" s="3" t="b">
        <f t="shared" si="2"/>
        <v>0</v>
      </c>
      <c r="E109" s="3" t="b">
        <f t="shared" si="3"/>
        <v>0</v>
      </c>
      <c r="F109" s="3" t="b">
        <f t="shared" ref="F109:G109" si="110">IF(ISNUMBER(SEARCH("Past Due",$A109)),TRUE,FALSE)</f>
        <v>1</v>
      </c>
      <c r="G109" s="3" t="b">
        <f t="shared" si="110"/>
        <v>1</v>
      </c>
      <c r="H109" s="2" t="s">
        <v>15</v>
      </c>
    </row>
    <row r="110" ht="15.75" customHeight="1">
      <c r="A110" s="2" t="s">
        <v>102</v>
      </c>
      <c r="B110" s="2" t="s">
        <v>102</v>
      </c>
      <c r="C110" s="3">
        <v>45540.78934027778</v>
      </c>
      <c r="D110" s="3" t="b">
        <f t="shared" si="2"/>
        <v>0</v>
      </c>
      <c r="E110" s="3" t="b">
        <f t="shared" si="3"/>
        <v>1</v>
      </c>
      <c r="F110" s="3" t="b">
        <f t="shared" ref="F110:G110" si="111">IF(ISNUMBER(SEARCH("Past Due",$A110)),TRUE,FALSE)</f>
        <v>0</v>
      </c>
      <c r="G110" s="3" t="b">
        <f t="shared" si="111"/>
        <v>0</v>
      </c>
      <c r="H110" s="2"/>
    </row>
    <row r="111" ht="15.75" customHeight="1">
      <c r="A111" s="2" t="s">
        <v>103</v>
      </c>
      <c r="B111" s="2" t="s">
        <v>103</v>
      </c>
      <c r="C111" s="2"/>
      <c r="D111" s="3" t="b">
        <f t="shared" si="2"/>
        <v>0</v>
      </c>
      <c r="E111" s="3" t="b">
        <f t="shared" si="3"/>
        <v>0</v>
      </c>
      <c r="F111" s="3" t="b">
        <f t="shared" ref="F111:G111" si="112">IF(ISNUMBER(SEARCH("Past Due",$A111)),TRUE,FALSE)</f>
        <v>0</v>
      </c>
      <c r="G111" s="3" t="b">
        <f t="shared" si="112"/>
        <v>0</v>
      </c>
      <c r="H111" s="2" t="s">
        <v>11</v>
      </c>
    </row>
    <row r="112" ht="15.75" customHeight="1">
      <c r="A112" s="2" t="s">
        <v>104</v>
      </c>
      <c r="B112" s="2" t="s">
        <v>104</v>
      </c>
      <c r="C112" s="3">
        <v>45478.77118055556</v>
      </c>
      <c r="D112" s="3" t="b">
        <f t="shared" si="2"/>
        <v>0</v>
      </c>
      <c r="E112" s="3" t="b">
        <f t="shared" si="3"/>
        <v>0</v>
      </c>
      <c r="F112" s="3" t="b">
        <f t="shared" ref="F112:G112" si="113">IF(ISNUMBER(SEARCH("Past Due",$A112)),TRUE,FALSE)</f>
        <v>0</v>
      </c>
      <c r="G112" s="3" t="b">
        <f t="shared" si="113"/>
        <v>0</v>
      </c>
      <c r="H112" s="2"/>
    </row>
    <row r="113" ht="15.75" customHeight="1">
      <c r="A113" s="2" t="s">
        <v>104</v>
      </c>
      <c r="B113" s="2" t="s">
        <v>104</v>
      </c>
      <c r="C113" s="3">
        <v>45540.90332175926</v>
      </c>
      <c r="D113" s="3" t="b">
        <f t="shared" si="2"/>
        <v>0</v>
      </c>
      <c r="E113" s="3" t="b">
        <f t="shared" si="3"/>
        <v>0</v>
      </c>
      <c r="F113" s="3" t="b">
        <f t="shared" ref="F113:G113" si="114">IF(ISNUMBER(SEARCH("Past Due",$A113)),TRUE,FALSE)</f>
        <v>0</v>
      </c>
      <c r="G113" s="3" t="b">
        <f t="shared" si="114"/>
        <v>0</v>
      </c>
      <c r="H113" s="2"/>
    </row>
    <row r="114" ht="15.75" customHeight="1">
      <c r="A114" s="2" t="s">
        <v>105</v>
      </c>
      <c r="B114" s="2" t="s">
        <v>105</v>
      </c>
      <c r="C114" s="2"/>
      <c r="D114" s="3" t="b">
        <f t="shared" si="2"/>
        <v>0</v>
      </c>
      <c r="E114" s="3" t="b">
        <f t="shared" si="3"/>
        <v>0</v>
      </c>
      <c r="F114" s="3" t="b">
        <f t="shared" ref="F114:G114" si="115">IF(ISNUMBER(SEARCH("Past Due",$A114)),TRUE,FALSE)</f>
        <v>0</v>
      </c>
      <c r="G114" s="3" t="b">
        <f t="shared" si="115"/>
        <v>0</v>
      </c>
      <c r="H114" s="2" t="s">
        <v>15</v>
      </c>
    </row>
    <row r="115" ht="15.75" customHeight="1">
      <c r="A115" s="2" t="s">
        <v>105</v>
      </c>
      <c r="B115" s="2" t="s">
        <v>105</v>
      </c>
      <c r="C115" s="2"/>
      <c r="D115" s="3" t="b">
        <f t="shared" si="2"/>
        <v>0</v>
      </c>
      <c r="E115" s="3" t="b">
        <f t="shared" si="3"/>
        <v>0</v>
      </c>
      <c r="F115" s="3" t="b">
        <f t="shared" ref="F115:G115" si="116">IF(ISNUMBER(SEARCH("Past Due",$A115)),TRUE,FALSE)</f>
        <v>0</v>
      </c>
      <c r="G115" s="3" t="b">
        <f t="shared" si="116"/>
        <v>0</v>
      </c>
      <c r="H115" s="2" t="s">
        <v>15</v>
      </c>
    </row>
    <row r="116" ht="15.75" customHeight="1">
      <c r="A116" s="2" t="s">
        <v>106</v>
      </c>
      <c r="B116" s="2" t="s">
        <v>106</v>
      </c>
      <c r="C116" s="2"/>
      <c r="D116" s="3" t="b">
        <f t="shared" si="2"/>
        <v>0</v>
      </c>
      <c r="E116" s="3" t="b">
        <f t="shared" si="3"/>
        <v>0</v>
      </c>
      <c r="F116" s="3" t="b">
        <f t="shared" ref="F116:G116" si="117">IF(ISNUMBER(SEARCH("Past Due",$A116)),TRUE,FALSE)</f>
        <v>0</v>
      </c>
      <c r="G116" s="3" t="b">
        <f t="shared" si="117"/>
        <v>0</v>
      </c>
      <c r="H116" s="2" t="s">
        <v>17</v>
      </c>
    </row>
    <row r="117" ht="15.75" customHeight="1">
      <c r="A117" s="2" t="s">
        <v>107</v>
      </c>
      <c r="B117" s="2" t="s">
        <v>107</v>
      </c>
      <c r="C117" s="3">
        <v>45448.84006944444</v>
      </c>
      <c r="D117" s="3" t="b">
        <f t="shared" si="2"/>
        <v>0</v>
      </c>
      <c r="E117" s="3" t="b">
        <f t="shared" si="3"/>
        <v>0</v>
      </c>
      <c r="F117" s="3" t="b">
        <f t="shared" ref="F117:G117" si="118">IF(ISNUMBER(SEARCH("Past Due",$A117)),TRUE,FALSE)</f>
        <v>0</v>
      </c>
      <c r="G117" s="3" t="b">
        <f t="shared" si="118"/>
        <v>0</v>
      </c>
      <c r="H117" s="2"/>
    </row>
    <row r="118" ht="15.75" customHeight="1">
      <c r="A118" s="2" t="s">
        <v>108</v>
      </c>
      <c r="B118" s="2" t="s">
        <v>108</v>
      </c>
      <c r="C118" s="3">
        <v>45478.797997685186</v>
      </c>
      <c r="D118" s="3" t="b">
        <f t="shared" si="2"/>
        <v>0</v>
      </c>
      <c r="E118" s="3" t="b">
        <f t="shared" si="3"/>
        <v>0</v>
      </c>
      <c r="F118" s="3" t="b">
        <f t="shared" ref="F118:G118" si="119">IF(ISNUMBER(SEARCH("Past Due",$A118)),TRUE,FALSE)</f>
        <v>1</v>
      </c>
      <c r="G118" s="3" t="b">
        <f t="shared" si="119"/>
        <v>1</v>
      </c>
      <c r="H118" s="2" t="s">
        <v>15</v>
      </c>
    </row>
    <row r="119" ht="15.75" customHeight="1">
      <c r="A119" s="2" t="s">
        <v>109</v>
      </c>
      <c r="B119" s="2" t="s">
        <v>109</v>
      </c>
      <c r="C119" s="3">
        <v>45540.75949074074</v>
      </c>
      <c r="D119" s="3" t="b">
        <f t="shared" si="2"/>
        <v>0</v>
      </c>
      <c r="E119" s="3" t="b">
        <f t="shared" si="3"/>
        <v>1</v>
      </c>
      <c r="F119" s="3" t="b">
        <f t="shared" ref="F119:G119" si="120">IF(ISNUMBER(SEARCH("Past Due",$A119)),TRUE,FALSE)</f>
        <v>0</v>
      </c>
      <c r="G119" s="3" t="b">
        <f t="shared" si="120"/>
        <v>0</v>
      </c>
      <c r="H119" s="2"/>
    </row>
    <row r="120" ht="15.75" customHeight="1">
      <c r="A120" s="2" t="s">
        <v>110</v>
      </c>
      <c r="B120" s="2" t="s">
        <v>110</v>
      </c>
      <c r="C120" s="2"/>
      <c r="D120" s="3" t="b">
        <f t="shared" si="2"/>
        <v>0</v>
      </c>
      <c r="E120" s="3" t="b">
        <f t="shared" si="3"/>
        <v>0</v>
      </c>
      <c r="F120" s="3" t="b">
        <f t="shared" ref="F120:G120" si="121">IF(ISNUMBER(SEARCH("Past Due",$A120)),TRUE,FALSE)</f>
        <v>0</v>
      </c>
      <c r="G120" s="3" t="b">
        <f t="shared" si="121"/>
        <v>0</v>
      </c>
      <c r="H120" s="2" t="s">
        <v>11</v>
      </c>
    </row>
    <row r="121" ht="15.75" customHeight="1">
      <c r="A121" s="2" t="s">
        <v>110</v>
      </c>
      <c r="B121" s="2" t="s">
        <v>110</v>
      </c>
      <c r="C121" s="2"/>
      <c r="D121" s="3" t="b">
        <f t="shared" si="2"/>
        <v>0</v>
      </c>
      <c r="E121" s="3" t="b">
        <f t="shared" si="3"/>
        <v>0</v>
      </c>
      <c r="F121" s="3" t="b">
        <f t="shared" ref="F121:G121" si="122">IF(ISNUMBER(SEARCH("Past Due",$A121)),TRUE,FALSE)</f>
        <v>0</v>
      </c>
      <c r="G121" s="3" t="b">
        <f t="shared" si="122"/>
        <v>0</v>
      </c>
      <c r="H121" s="2" t="s">
        <v>11</v>
      </c>
    </row>
    <row r="122" ht="15.75" customHeight="1">
      <c r="A122" s="2" t="s">
        <v>111</v>
      </c>
      <c r="B122" s="2" t="s">
        <v>111</v>
      </c>
      <c r="C122" s="3">
        <v>45540.7634375</v>
      </c>
      <c r="D122" s="3" t="b">
        <f t="shared" si="2"/>
        <v>1</v>
      </c>
      <c r="E122" s="3" t="b">
        <f t="shared" si="3"/>
        <v>0</v>
      </c>
      <c r="F122" s="3" t="b">
        <f t="shared" ref="F122:G122" si="123">IF(ISNUMBER(SEARCH("Past Due",$A122)),TRUE,FALSE)</f>
        <v>0</v>
      </c>
      <c r="G122" s="3" t="b">
        <f t="shared" si="123"/>
        <v>0</v>
      </c>
      <c r="H122" s="2"/>
    </row>
    <row r="123" ht="15.75" customHeight="1">
      <c r="A123" s="2" t="s">
        <v>112</v>
      </c>
      <c r="B123" s="2" t="s">
        <v>112</v>
      </c>
      <c r="C123" s="3">
        <v>45448.77137731481</v>
      </c>
      <c r="D123" s="3" t="b">
        <f t="shared" si="2"/>
        <v>0</v>
      </c>
      <c r="E123" s="3" t="b">
        <f t="shared" si="3"/>
        <v>1</v>
      </c>
      <c r="F123" s="3" t="b">
        <f t="shared" ref="F123:G123" si="124">IF(ISNUMBER(SEARCH("Past Due",$A123)),TRUE,FALSE)</f>
        <v>0</v>
      </c>
      <c r="G123" s="3" t="b">
        <f t="shared" si="124"/>
        <v>0</v>
      </c>
      <c r="H123" s="2"/>
    </row>
    <row r="124" ht="15.75" customHeight="1">
      <c r="A124" s="2" t="s">
        <v>113</v>
      </c>
      <c r="B124" s="2" t="s">
        <v>113</v>
      </c>
      <c r="C124" s="2"/>
      <c r="D124" s="3" t="b">
        <f t="shared" si="2"/>
        <v>0</v>
      </c>
      <c r="E124" s="3" t="b">
        <f t="shared" si="3"/>
        <v>0</v>
      </c>
      <c r="F124" s="3" t="b">
        <f t="shared" ref="F124:G124" si="125">IF(ISNUMBER(SEARCH("Past Due",$A124)),TRUE,FALSE)</f>
        <v>0</v>
      </c>
      <c r="G124" s="3" t="b">
        <f t="shared" si="125"/>
        <v>0</v>
      </c>
      <c r="H124" s="2" t="s">
        <v>11</v>
      </c>
    </row>
    <row r="125" ht="15.75" customHeight="1">
      <c r="A125" s="2" t="s">
        <v>114</v>
      </c>
      <c r="B125" s="2" t="s">
        <v>114</v>
      </c>
      <c r="C125" s="3">
        <v>45601.7871875</v>
      </c>
      <c r="D125" s="3" t="b">
        <f t="shared" si="2"/>
        <v>0</v>
      </c>
      <c r="E125" s="3" t="b">
        <f t="shared" si="3"/>
        <v>0</v>
      </c>
      <c r="F125" s="3" t="b">
        <f t="shared" ref="F125:G125" si="126">IF(ISNUMBER(SEARCH("Past Due",$A125)),TRUE,FALSE)</f>
        <v>0</v>
      </c>
      <c r="G125" s="3" t="b">
        <f t="shared" si="126"/>
        <v>0</v>
      </c>
      <c r="H125" s="2"/>
    </row>
    <row r="126" ht="15.75" customHeight="1">
      <c r="A126" s="2" t="s">
        <v>115</v>
      </c>
      <c r="B126" s="2" t="s">
        <v>115</v>
      </c>
      <c r="C126" s="2"/>
      <c r="D126" s="3" t="b">
        <f t="shared" si="2"/>
        <v>0</v>
      </c>
      <c r="E126" s="3" t="b">
        <f t="shared" si="3"/>
        <v>0</v>
      </c>
      <c r="F126" s="3" t="b">
        <f t="shared" ref="F126:G126" si="127">IF(ISNUMBER(SEARCH("Past Due",$A126)),TRUE,FALSE)</f>
        <v>0</v>
      </c>
      <c r="G126" s="3" t="b">
        <f t="shared" si="127"/>
        <v>0</v>
      </c>
      <c r="H126" s="2" t="s">
        <v>11</v>
      </c>
    </row>
    <row r="127" ht="15.75" customHeight="1">
      <c r="A127" s="2" t="s">
        <v>116</v>
      </c>
      <c r="B127" s="2" t="s">
        <v>116</v>
      </c>
      <c r="C127" s="3">
        <v>45601.75438657407</v>
      </c>
      <c r="D127" s="3" t="b">
        <f t="shared" si="2"/>
        <v>0</v>
      </c>
      <c r="E127" s="3" t="b">
        <f t="shared" si="3"/>
        <v>0</v>
      </c>
      <c r="F127" s="3" t="b">
        <f t="shared" ref="F127:G127" si="128">IF(ISNUMBER(SEARCH("Past Due",$A127)),TRUE,FALSE)</f>
        <v>0</v>
      </c>
      <c r="G127" s="3" t="b">
        <f t="shared" si="128"/>
        <v>0</v>
      </c>
      <c r="H127" s="2"/>
    </row>
    <row r="128" ht="15.75" customHeight="1">
      <c r="A128" s="2" t="s">
        <v>117</v>
      </c>
      <c r="B128" s="2" t="s">
        <v>117</v>
      </c>
      <c r="C128" s="2"/>
      <c r="D128" s="3" t="b">
        <f t="shared" si="2"/>
        <v>0</v>
      </c>
      <c r="E128" s="3" t="b">
        <f t="shared" si="3"/>
        <v>0</v>
      </c>
      <c r="F128" s="3" t="b">
        <f t="shared" ref="F128:G128" si="129">IF(ISNUMBER(SEARCH("Past Due",$A128)),TRUE,FALSE)</f>
        <v>0</v>
      </c>
      <c r="G128" s="3" t="b">
        <f t="shared" si="129"/>
        <v>0</v>
      </c>
      <c r="H128" s="2" t="s">
        <v>11</v>
      </c>
    </row>
    <row r="129" ht="15.75" customHeight="1">
      <c r="A129" s="2" t="s">
        <v>117</v>
      </c>
      <c r="B129" s="2" t="s">
        <v>117</v>
      </c>
      <c r="C129" s="2"/>
      <c r="D129" s="3" t="b">
        <f t="shared" si="2"/>
        <v>0</v>
      </c>
      <c r="E129" s="3" t="b">
        <f t="shared" si="3"/>
        <v>0</v>
      </c>
      <c r="F129" s="3" t="b">
        <f t="shared" ref="F129:G129" si="130">IF(ISNUMBER(SEARCH("Past Due",$A129)),TRUE,FALSE)</f>
        <v>0</v>
      </c>
      <c r="G129" s="3" t="b">
        <f t="shared" si="130"/>
        <v>0</v>
      </c>
      <c r="H129" s="2" t="s">
        <v>15</v>
      </c>
    </row>
    <row r="130" ht="15.75" customHeight="1">
      <c r="A130" s="2" t="s">
        <v>118</v>
      </c>
      <c r="B130" s="2" t="s">
        <v>118</v>
      </c>
      <c r="C130" s="2"/>
      <c r="D130" s="3" t="b">
        <f t="shared" si="2"/>
        <v>0</v>
      </c>
      <c r="E130" s="3" t="b">
        <f t="shared" si="3"/>
        <v>0</v>
      </c>
      <c r="F130" s="3" t="b">
        <f t="shared" ref="F130:G130" si="131">IF(ISNUMBER(SEARCH("Past Due",$A130)),TRUE,FALSE)</f>
        <v>0</v>
      </c>
      <c r="G130" s="3" t="b">
        <f t="shared" si="131"/>
        <v>0</v>
      </c>
      <c r="H130" s="2" t="s">
        <v>17</v>
      </c>
    </row>
    <row r="131" ht="15.75" customHeight="1">
      <c r="A131" s="2" t="s">
        <v>119</v>
      </c>
      <c r="B131" s="2" t="s">
        <v>119</v>
      </c>
      <c r="C131" s="3">
        <v>45509.77523148148</v>
      </c>
      <c r="D131" s="3" t="b">
        <f t="shared" si="2"/>
        <v>0</v>
      </c>
      <c r="E131" s="3" t="b">
        <f t="shared" si="3"/>
        <v>0</v>
      </c>
      <c r="F131" s="3" t="b">
        <f t="shared" ref="F131:G131" si="132">IF(ISNUMBER(SEARCH("Past Due",$A131)),TRUE,FALSE)</f>
        <v>0</v>
      </c>
      <c r="G131" s="3" t="b">
        <f t="shared" si="132"/>
        <v>0</v>
      </c>
      <c r="H131" s="2"/>
    </row>
    <row r="132" ht="15.75" customHeight="1">
      <c r="A132" s="2" t="s">
        <v>119</v>
      </c>
      <c r="B132" s="2" t="s">
        <v>119</v>
      </c>
      <c r="C132" s="3">
        <v>45570.98378472222</v>
      </c>
      <c r="D132" s="3" t="b">
        <f t="shared" si="2"/>
        <v>0</v>
      </c>
      <c r="E132" s="3" t="b">
        <f t="shared" si="3"/>
        <v>0</v>
      </c>
      <c r="F132" s="3" t="b">
        <f t="shared" ref="F132:G132" si="133">IF(ISNUMBER(SEARCH("Past Due",$A132)),TRUE,FALSE)</f>
        <v>0</v>
      </c>
      <c r="G132" s="3" t="b">
        <f t="shared" si="133"/>
        <v>0</v>
      </c>
      <c r="H132" s="2"/>
    </row>
    <row r="133" ht="15.75" customHeight="1">
      <c r="A133" s="2" t="s">
        <v>120</v>
      </c>
      <c r="B133" s="2" t="s">
        <v>120</v>
      </c>
      <c r="C133" s="3">
        <v>45601.866631944446</v>
      </c>
      <c r="D133" s="3" t="b">
        <f t="shared" si="2"/>
        <v>0</v>
      </c>
      <c r="E133" s="3" t="b">
        <f t="shared" si="3"/>
        <v>0</v>
      </c>
      <c r="F133" s="3" t="b">
        <f t="shared" ref="F133:G133" si="134">IF(ISNUMBER(SEARCH("Past Due",$A133)),TRUE,FALSE)</f>
        <v>1</v>
      </c>
      <c r="G133" s="3" t="b">
        <f t="shared" si="134"/>
        <v>1</v>
      </c>
      <c r="H133" s="2" t="s">
        <v>15</v>
      </c>
    </row>
    <row r="134" ht="15.75" customHeight="1">
      <c r="A134" s="2" t="s">
        <v>121</v>
      </c>
      <c r="B134" s="2" t="s">
        <v>121</v>
      </c>
      <c r="C134" s="2"/>
      <c r="D134" s="3" t="b">
        <f t="shared" si="2"/>
        <v>0</v>
      </c>
      <c r="E134" s="3" t="b">
        <f t="shared" si="3"/>
        <v>0</v>
      </c>
      <c r="F134" s="3" t="b">
        <f t="shared" ref="F134:G134" si="135">IF(ISNUMBER(SEARCH("Past Due",$A134)),TRUE,FALSE)</f>
        <v>0</v>
      </c>
      <c r="G134" s="3" t="b">
        <f t="shared" si="135"/>
        <v>0</v>
      </c>
      <c r="H134" s="2" t="s">
        <v>11</v>
      </c>
    </row>
    <row r="135" ht="15.75" customHeight="1">
      <c r="A135" s="2" t="s">
        <v>122</v>
      </c>
      <c r="B135" s="2" t="s">
        <v>122</v>
      </c>
      <c r="C135" s="2"/>
      <c r="D135" s="3" t="b">
        <f t="shared" si="2"/>
        <v>0</v>
      </c>
      <c r="E135" s="3" t="b">
        <f t="shared" si="3"/>
        <v>0</v>
      </c>
      <c r="F135" s="3" t="b">
        <f t="shared" ref="F135:G135" si="136">IF(ISNUMBER(SEARCH("Past Due",$A135)),TRUE,FALSE)</f>
        <v>0</v>
      </c>
      <c r="G135" s="3" t="b">
        <f t="shared" si="136"/>
        <v>0</v>
      </c>
      <c r="H135" s="2"/>
    </row>
    <row r="136" ht="15.75" customHeight="1">
      <c r="A136" s="2" t="s">
        <v>123</v>
      </c>
      <c r="B136" s="2" t="s">
        <v>123</v>
      </c>
      <c r="C136" s="2"/>
      <c r="D136" s="3" t="b">
        <f t="shared" si="2"/>
        <v>0</v>
      </c>
      <c r="E136" s="3" t="b">
        <f t="shared" si="3"/>
        <v>0</v>
      </c>
      <c r="F136" s="3" t="b">
        <f t="shared" ref="F136:G136" si="137">IF(ISNUMBER(SEARCH("Past Due",$A136)),TRUE,FALSE)</f>
        <v>0</v>
      </c>
      <c r="G136" s="3" t="b">
        <f t="shared" si="137"/>
        <v>0</v>
      </c>
      <c r="H136" s="2" t="s">
        <v>11</v>
      </c>
    </row>
    <row r="137" ht="15.75" customHeight="1">
      <c r="A137" s="2" t="s">
        <v>124</v>
      </c>
      <c r="B137" s="2" t="s">
        <v>124</v>
      </c>
      <c r="C137" s="2"/>
      <c r="D137" s="3" t="b">
        <f t="shared" si="2"/>
        <v>0</v>
      </c>
      <c r="E137" s="3" t="b">
        <f t="shared" si="3"/>
        <v>0</v>
      </c>
      <c r="F137" s="3" t="b">
        <f t="shared" ref="F137:G137" si="138">IF(ISNUMBER(SEARCH("Past Due",$A137)),TRUE,FALSE)</f>
        <v>0</v>
      </c>
      <c r="G137" s="3" t="b">
        <f t="shared" si="138"/>
        <v>0</v>
      </c>
      <c r="H137" s="2"/>
    </row>
    <row r="138" ht="15.75" customHeight="1">
      <c r="A138" s="2" t="s">
        <v>125</v>
      </c>
      <c r="B138" s="2" t="s">
        <v>125</v>
      </c>
      <c r="C138" s="2"/>
      <c r="D138" s="3" t="b">
        <f t="shared" si="2"/>
        <v>0</v>
      </c>
      <c r="E138" s="3" t="b">
        <f t="shared" si="3"/>
        <v>0</v>
      </c>
      <c r="F138" s="3" t="b">
        <f t="shared" ref="F138:G138" si="139">IF(ISNUMBER(SEARCH("Past Due",$A138)),TRUE,FALSE)</f>
        <v>0</v>
      </c>
      <c r="G138" s="3" t="b">
        <f t="shared" si="139"/>
        <v>0</v>
      </c>
      <c r="H138" s="2" t="s">
        <v>11</v>
      </c>
    </row>
    <row r="139" ht="15.75" customHeight="1">
      <c r="A139" s="2" t="s">
        <v>126</v>
      </c>
      <c r="B139" s="2" t="s">
        <v>126</v>
      </c>
      <c r="C139" s="2"/>
      <c r="D139" s="3" t="b">
        <f t="shared" si="2"/>
        <v>0</v>
      </c>
      <c r="E139" s="3" t="b">
        <f t="shared" si="3"/>
        <v>0</v>
      </c>
      <c r="F139" s="3" t="b">
        <f t="shared" ref="F139:G139" si="140">IF(ISNUMBER(SEARCH("Past Due",$A139)),TRUE,FALSE)</f>
        <v>0</v>
      </c>
      <c r="G139" s="3" t="b">
        <f t="shared" si="140"/>
        <v>0</v>
      </c>
      <c r="H139" s="2"/>
    </row>
    <row r="140" ht="15.75" customHeight="1">
      <c r="A140" s="2" t="s">
        <v>127</v>
      </c>
      <c r="B140" s="2" t="s">
        <v>127</v>
      </c>
      <c r="C140" s="2"/>
      <c r="D140" s="3" t="b">
        <f t="shared" si="2"/>
        <v>0</v>
      </c>
      <c r="E140" s="3" t="b">
        <f t="shared" si="3"/>
        <v>0</v>
      </c>
      <c r="F140" s="3" t="b">
        <f t="shared" ref="F140:G140" si="141">IF(ISNUMBER(SEARCH("Past Due",$A140)),TRUE,FALSE)</f>
        <v>0</v>
      </c>
      <c r="G140" s="3" t="b">
        <f t="shared" si="141"/>
        <v>0</v>
      </c>
      <c r="H140" s="2" t="s">
        <v>11</v>
      </c>
    </row>
    <row r="141" ht="15.75" customHeight="1">
      <c r="A141" s="2" t="s">
        <v>128</v>
      </c>
      <c r="B141" s="2" t="s">
        <v>128</v>
      </c>
      <c r="C141" s="2"/>
      <c r="D141" s="3" t="b">
        <f t="shared" si="2"/>
        <v>0</v>
      </c>
      <c r="E141" s="3" t="b">
        <f t="shared" si="3"/>
        <v>0</v>
      </c>
      <c r="F141" s="3" t="b">
        <f t="shared" ref="F141:G141" si="142">IF(ISNUMBER(SEARCH("Past Due",$A141)),TRUE,FALSE)</f>
        <v>0</v>
      </c>
      <c r="G141" s="3" t="b">
        <f t="shared" si="142"/>
        <v>0</v>
      </c>
      <c r="H141" s="2"/>
    </row>
    <row r="142" ht="15.75" customHeight="1">
      <c r="A142" s="2" t="s">
        <v>129</v>
      </c>
      <c r="B142" s="2" t="s">
        <v>129</v>
      </c>
      <c r="C142" s="2"/>
      <c r="D142" s="3" t="b">
        <f t="shared" si="2"/>
        <v>0</v>
      </c>
      <c r="E142" s="3" t="b">
        <f t="shared" si="3"/>
        <v>0</v>
      </c>
      <c r="F142" s="3" t="b">
        <f t="shared" ref="F142:G142" si="143">IF(ISNUMBER(SEARCH("Past Due",$A142)),TRUE,FALSE)</f>
        <v>0</v>
      </c>
      <c r="G142" s="3" t="b">
        <f t="shared" si="143"/>
        <v>0</v>
      </c>
      <c r="H142" s="2" t="s">
        <v>11</v>
      </c>
    </row>
    <row r="143" ht="15.75" customHeight="1">
      <c r="A143" s="2" t="s">
        <v>130</v>
      </c>
      <c r="B143" s="2" t="s">
        <v>130</v>
      </c>
      <c r="C143" s="2"/>
      <c r="D143" s="3" t="b">
        <f t="shared" si="2"/>
        <v>0</v>
      </c>
      <c r="E143" s="3" t="b">
        <f t="shared" si="3"/>
        <v>0</v>
      </c>
      <c r="F143" s="3" t="b">
        <f t="shared" ref="F143:G143" si="144">IF(ISNUMBER(SEARCH("Past Due",$A143)),TRUE,FALSE)</f>
        <v>0</v>
      </c>
      <c r="G143" s="3" t="b">
        <f t="shared" si="144"/>
        <v>0</v>
      </c>
      <c r="H143" s="2"/>
    </row>
    <row r="144" ht="15.75" customHeight="1">
      <c r="A144" s="2" t="s">
        <v>131</v>
      </c>
      <c r="B144" s="2" t="s">
        <v>131</v>
      </c>
      <c r="C144" s="2"/>
      <c r="D144" s="3" t="b">
        <f t="shared" si="2"/>
        <v>0</v>
      </c>
      <c r="E144" s="3" t="b">
        <f t="shared" si="3"/>
        <v>0</v>
      </c>
      <c r="F144" s="3" t="b">
        <f t="shared" ref="F144:G144" si="145">IF(ISNUMBER(SEARCH("Past Due",$A144)),TRUE,FALSE)</f>
        <v>0</v>
      </c>
      <c r="G144" s="3" t="b">
        <f t="shared" si="145"/>
        <v>0</v>
      </c>
      <c r="H144" s="2" t="s">
        <v>11</v>
      </c>
    </row>
    <row r="145" ht="15.75" customHeight="1">
      <c r="A145" s="2" t="s">
        <v>132</v>
      </c>
      <c r="B145" s="2" t="s">
        <v>132</v>
      </c>
      <c r="C145" s="2"/>
      <c r="D145" s="3" t="b">
        <f t="shared" si="2"/>
        <v>0</v>
      </c>
      <c r="E145" s="3" t="b">
        <f t="shared" si="3"/>
        <v>0</v>
      </c>
      <c r="F145" s="3" t="b">
        <f t="shared" ref="F145:G145" si="146">IF(ISNUMBER(SEARCH("Past Due",$A145)),TRUE,FALSE)</f>
        <v>0</v>
      </c>
      <c r="G145" s="3" t="b">
        <f t="shared" si="146"/>
        <v>0</v>
      </c>
      <c r="H145" s="2"/>
    </row>
    <row r="146" ht="15.75" customHeight="1">
      <c r="A146" s="2" t="s">
        <v>133</v>
      </c>
      <c r="B146" s="2" t="s">
        <v>133</v>
      </c>
      <c r="C146" s="2"/>
      <c r="D146" s="3" t="b">
        <f t="shared" si="2"/>
        <v>0</v>
      </c>
      <c r="E146" s="3" t="b">
        <f t="shared" si="3"/>
        <v>0</v>
      </c>
      <c r="F146" s="3" t="b">
        <f t="shared" ref="F146:G146" si="147">IF(ISNUMBER(SEARCH("Past Due",$A146)),TRUE,FALSE)</f>
        <v>0</v>
      </c>
      <c r="G146" s="3" t="b">
        <f t="shared" si="147"/>
        <v>0</v>
      </c>
      <c r="H146" s="2" t="s">
        <v>17</v>
      </c>
    </row>
    <row r="147" ht="15.75" customHeight="1">
      <c r="A147" s="2" t="s">
        <v>134</v>
      </c>
      <c r="B147" s="2" t="s">
        <v>134</v>
      </c>
      <c r="C147" s="2"/>
      <c r="D147" s="3" t="b">
        <f t="shared" si="2"/>
        <v>0</v>
      </c>
      <c r="E147" s="3" t="b">
        <f t="shared" si="3"/>
        <v>0</v>
      </c>
      <c r="F147" s="3" t="b">
        <f t="shared" ref="F147:G147" si="148">IF(ISNUMBER(SEARCH("Past Due",$A147)),TRUE,FALSE)</f>
        <v>0</v>
      </c>
      <c r="G147" s="3" t="b">
        <f t="shared" si="148"/>
        <v>0</v>
      </c>
      <c r="H147" s="2"/>
    </row>
    <row r="148" ht="15.75" customHeight="1">
      <c r="A148" s="2" t="s">
        <v>135</v>
      </c>
      <c r="B148" s="2" t="s">
        <v>135</v>
      </c>
      <c r="C148" s="2"/>
      <c r="D148" s="3" t="b">
        <f t="shared" si="2"/>
        <v>0</v>
      </c>
      <c r="E148" s="3" t="b">
        <f t="shared" si="3"/>
        <v>0</v>
      </c>
      <c r="F148" s="3" t="b">
        <f t="shared" ref="F148:G148" si="149">IF(ISNUMBER(SEARCH("Past Due",$A148)),TRUE,FALSE)</f>
        <v>0</v>
      </c>
      <c r="G148" s="3" t="b">
        <f t="shared" si="149"/>
        <v>0</v>
      </c>
      <c r="H148" s="2" t="s">
        <v>15</v>
      </c>
    </row>
    <row r="149" ht="15.75" customHeight="1">
      <c r="A149" s="2" t="s">
        <v>136</v>
      </c>
      <c r="B149" s="2" t="s">
        <v>136</v>
      </c>
      <c r="C149" s="3">
        <v>45417.0</v>
      </c>
      <c r="D149" s="3" t="b">
        <f t="shared" si="2"/>
        <v>0</v>
      </c>
      <c r="E149" s="3" t="b">
        <f t="shared" si="3"/>
        <v>0</v>
      </c>
      <c r="F149" s="3" t="b">
        <f t="shared" ref="F149:G149" si="150">IF(ISNUMBER(SEARCH("Past Due",$A149)),TRUE,FALSE)</f>
        <v>0</v>
      </c>
      <c r="G149" s="3" t="b">
        <f t="shared" si="150"/>
        <v>0</v>
      </c>
      <c r="H149" s="2"/>
    </row>
    <row r="150" ht="15.75" customHeight="1">
      <c r="A150" s="2" t="s">
        <v>136</v>
      </c>
      <c r="B150" s="2" t="s">
        <v>136</v>
      </c>
      <c r="C150" s="3">
        <v>45478.892743055556</v>
      </c>
      <c r="D150" s="3" t="b">
        <f t="shared" si="2"/>
        <v>0</v>
      </c>
      <c r="E150" s="3" t="b">
        <f t="shared" si="3"/>
        <v>0</v>
      </c>
      <c r="F150" s="3" t="b">
        <f t="shared" ref="F150:G150" si="151">IF(ISNUMBER(SEARCH("Past Due",$A150)),TRUE,FALSE)</f>
        <v>0</v>
      </c>
      <c r="G150" s="3" t="b">
        <f t="shared" si="151"/>
        <v>0</v>
      </c>
      <c r="H150" s="2"/>
    </row>
    <row r="151" ht="15.75" customHeight="1">
      <c r="A151" s="2" t="s">
        <v>137</v>
      </c>
      <c r="B151" s="2" t="s">
        <v>137</v>
      </c>
      <c r="C151" s="2"/>
      <c r="D151" s="3" t="b">
        <f t="shared" si="2"/>
        <v>0</v>
      </c>
      <c r="E151" s="3" t="b">
        <f t="shared" si="3"/>
        <v>0</v>
      </c>
      <c r="F151" s="3" t="b">
        <f t="shared" ref="F151:G151" si="152">IF(ISNUMBER(SEARCH("Past Due",$A151)),TRUE,FALSE)</f>
        <v>0</v>
      </c>
      <c r="G151" s="3" t="b">
        <f t="shared" si="152"/>
        <v>0</v>
      </c>
      <c r="H151" s="2" t="s">
        <v>11</v>
      </c>
    </row>
    <row r="152" ht="15.75" customHeight="1">
      <c r="A152" s="2" t="s">
        <v>137</v>
      </c>
      <c r="B152" s="2" t="s">
        <v>137</v>
      </c>
      <c r="C152" s="2"/>
      <c r="D152" s="3" t="b">
        <f t="shared" si="2"/>
        <v>0</v>
      </c>
      <c r="E152" s="3" t="b">
        <f t="shared" si="3"/>
        <v>0</v>
      </c>
      <c r="F152" s="3" t="b">
        <f t="shared" ref="F152:G152" si="153">IF(ISNUMBER(SEARCH("Past Due",$A152)),TRUE,FALSE)</f>
        <v>0</v>
      </c>
      <c r="G152" s="3" t="b">
        <f t="shared" si="153"/>
        <v>0</v>
      </c>
      <c r="H152" s="2" t="s">
        <v>15</v>
      </c>
    </row>
    <row r="153" ht="15.75" customHeight="1">
      <c r="A153" s="2" t="s">
        <v>138</v>
      </c>
      <c r="B153" s="2" t="s">
        <v>138</v>
      </c>
      <c r="C153" s="3">
        <v>45448.75071759259</v>
      </c>
      <c r="D153" s="3" t="b">
        <f t="shared" si="2"/>
        <v>0</v>
      </c>
      <c r="E153" s="3" t="b">
        <f t="shared" si="3"/>
        <v>0</v>
      </c>
      <c r="F153" s="3" t="b">
        <f t="shared" ref="F153:G153" si="154">IF(ISNUMBER(SEARCH("Past Due",$A153)),TRUE,FALSE)</f>
        <v>0</v>
      </c>
      <c r="G153" s="3" t="b">
        <f t="shared" si="154"/>
        <v>0</v>
      </c>
      <c r="H153" s="2"/>
    </row>
    <row r="154" ht="15.75" customHeight="1">
      <c r="A154" s="2" t="s">
        <v>138</v>
      </c>
      <c r="B154" s="2" t="s">
        <v>138</v>
      </c>
      <c r="C154" s="3">
        <v>45509.9324537037</v>
      </c>
      <c r="D154" s="3" t="b">
        <f t="shared" si="2"/>
        <v>0</v>
      </c>
      <c r="E154" s="3" t="b">
        <f t="shared" si="3"/>
        <v>0</v>
      </c>
      <c r="F154" s="3" t="b">
        <f t="shared" ref="F154:G154" si="155">IF(ISNUMBER(SEARCH("Past Due",$A154)),TRUE,FALSE)</f>
        <v>0</v>
      </c>
      <c r="G154" s="3" t="b">
        <f t="shared" si="155"/>
        <v>0</v>
      </c>
      <c r="H154" s="2"/>
    </row>
    <row r="155" ht="15.75" customHeight="1">
      <c r="A155" s="2" t="s">
        <v>139</v>
      </c>
      <c r="B155" s="2" t="s">
        <v>139</v>
      </c>
      <c r="C155" s="3">
        <v>45540.83917824074</v>
      </c>
      <c r="D155" s="3" t="b">
        <f t="shared" si="2"/>
        <v>0</v>
      </c>
      <c r="E155" s="3" t="b">
        <f t="shared" si="3"/>
        <v>0</v>
      </c>
      <c r="F155" s="3" t="b">
        <f t="shared" ref="F155:G155" si="156">IF(ISNUMBER(SEARCH("Past Due",$A155)),TRUE,FALSE)</f>
        <v>1</v>
      </c>
      <c r="G155" s="3" t="b">
        <f t="shared" si="156"/>
        <v>1</v>
      </c>
      <c r="H155" s="2" t="s">
        <v>15</v>
      </c>
    </row>
    <row r="156" ht="15.75" customHeight="1">
      <c r="A156" s="2" t="s">
        <v>140</v>
      </c>
      <c r="B156" s="2" t="s">
        <v>140</v>
      </c>
      <c r="C156" s="3">
        <v>45601.77711805556</v>
      </c>
      <c r="D156" s="3" t="b">
        <f t="shared" si="2"/>
        <v>0</v>
      </c>
      <c r="E156" s="3" t="b">
        <f t="shared" si="3"/>
        <v>1</v>
      </c>
      <c r="F156" s="3" t="b">
        <f t="shared" ref="F156:G156" si="157">IF(ISNUMBER(SEARCH("Past Due",$A156)),TRUE,FALSE)</f>
        <v>0</v>
      </c>
      <c r="G156" s="3" t="b">
        <f t="shared" si="157"/>
        <v>0</v>
      </c>
      <c r="H156" s="2"/>
    </row>
    <row r="157" ht="15.75" customHeight="1">
      <c r="A157" s="2" t="s">
        <v>141</v>
      </c>
      <c r="B157" s="2" t="s">
        <v>141</v>
      </c>
      <c r="C157" s="2"/>
      <c r="D157" s="3" t="b">
        <f t="shared" si="2"/>
        <v>0</v>
      </c>
      <c r="E157" s="3" t="b">
        <f t="shared" si="3"/>
        <v>0</v>
      </c>
      <c r="F157" s="3" t="b">
        <f t="shared" ref="F157:G157" si="158">IF(ISNUMBER(SEARCH("Past Due",$A157)),TRUE,FALSE)</f>
        <v>0</v>
      </c>
      <c r="G157" s="3" t="b">
        <f t="shared" si="158"/>
        <v>0</v>
      </c>
      <c r="H157" s="2" t="s">
        <v>11</v>
      </c>
    </row>
    <row r="158" ht="15.75" customHeight="1">
      <c r="A158" s="2" t="s">
        <v>141</v>
      </c>
      <c r="B158" s="2" t="s">
        <v>141</v>
      </c>
      <c r="C158" s="2"/>
      <c r="D158" s="3" t="b">
        <f t="shared" si="2"/>
        <v>0</v>
      </c>
      <c r="E158" s="3" t="b">
        <f t="shared" si="3"/>
        <v>0</v>
      </c>
      <c r="F158" s="3" t="b">
        <f t="shared" ref="F158:G158" si="159">IF(ISNUMBER(SEARCH("Past Due",$A158)),TRUE,FALSE)</f>
        <v>0</v>
      </c>
      <c r="G158" s="3" t="b">
        <f t="shared" si="159"/>
        <v>0</v>
      </c>
      <c r="H158" s="2" t="s">
        <v>11</v>
      </c>
    </row>
    <row r="159" ht="15.75" customHeight="1">
      <c r="A159" s="2" t="s">
        <v>141</v>
      </c>
      <c r="B159" s="2" t="s">
        <v>141</v>
      </c>
      <c r="C159" s="2"/>
      <c r="D159" s="3" t="b">
        <f t="shared" si="2"/>
        <v>0</v>
      </c>
      <c r="E159" s="3" t="b">
        <f t="shared" si="3"/>
        <v>0</v>
      </c>
      <c r="F159" s="3" t="b">
        <f t="shared" ref="F159:G159" si="160">IF(ISNUMBER(SEARCH("Past Due",$A159)),TRUE,FALSE)</f>
        <v>0</v>
      </c>
      <c r="G159" s="3" t="b">
        <f t="shared" si="160"/>
        <v>0</v>
      </c>
      <c r="H159" s="2" t="s">
        <v>15</v>
      </c>
    </row>
    <row r="160" ht="15.75" customHeight="1">
      <c r="A160" s="2" t="s">
        <v>142</v>
      </c>
      <c r="B160" s="2" t="s">
        <v>142</v>
      </c>
      <c r="C160" s="2"/>
      <c r="D160" s="3" t="b">
        <f t="shared" si="2"/>
        <v>0</v>
      </c>
      <c r="E160" s="3" t="b">
        <f t="shared" si="3"/>
        <v>0</v>
      </c>
      <c r="F160" s="3" t="b">
        <f t="shared" ref="F160:G160" si="161">IF(ISNUMBER(SEARCH("Past Due",$A160)),TRUE,FALSE)</f>
        <v>0</v>
      </c>
      <c r="G160" s="3" t="b">
        <f t="shared" si="161"/>
        <v>0</v>
      </c>
      <c r="H160" s="2" t="s">
        <v>17</v>
      </c>
    </row>
    <row r="161" ht="15.75" customHeight="1">
      <c r="A161" s="2" t="s">
        <v>143</v>
      </c>
      <c r="B161" s="2" t="s">
        <v>143</v>
      </c>
      <c r="C161" s="3">
        <v>45417.0</v>
      </c>
      <c r="D161" s="3" t="b">
        <f t="shared" si="2"/>
        <v>0</v>
      </c>
      <c r="E161" s="3" t="b">
        <f t="shared" si="3"/>
        <v>0</v>
      </c>
      <c r="F161" s="3" t="b">
        <f t="shared" ref="F161:G161" si="162">IF(ISNUMBER(SEARCH("Past Due",$A161)),TRUE,FALSE)</f>
        <v>0</v>
      </c>
      <c r="G161" s="3" t="b">
        <f t="shared" si="162"/>
        <v>0</v>
      </c>
      <c r="H161" s="2"/>
    </row>
    <row r="162" ht="15.75" customHeight="1">
      <c r="A162" s="2" t="s">
        <v>143</v>
      </c>
      <c r="B162" s="2" t="s">
        <v>143</v>
      </c>
      <c r="C162" s="3">
        <v>45478.93653935185</v>
      </c>
      <c r="D162" s="3" t="b">
        <f t="shared" si="2"/>
        <v>0</v>
      </c>
      <c r="E162" s="3" t="b">
        <f t="shared" si="3"/>
        <v>0</v>
      </c>
      <c r="F162" s="3" t="b">
        <f t="shared" ref="F162:G162" si="163">IF(ISNUMBER(SEARCH("Past Due",$A162)),TRUE,FALSE)</f>
        <v>0</v>
      </c>
      <c r="G162" s="3" t="b">
        <f t="shared" si="163"/>
        <v>0</v>
      </c>
      <c r="H162" s="2"/>
    </row>
    <row r="163" ht="15.75" customHeight="1">
      <c r="A163" s="2" t="s">
        <v>144</v>
      </c>
      <c r="B163" s="2" t="s">
        <v>144</v>
      </c>
      <c r="C163" s="3">
        <v>45509.84583333333</v>
      </c>
      <c r="D163" s="3" t="b">
        <f t="shared" si="2"/>
        <v>0</v>
      </c>
      <c r="E163" s="3" t="b">
        <f t="shared" si="3"/>
        <v>0</v>
      </c>
      <c r="F163" s="3" t="b">
        <f t="shared" ref="F163:G163" si="164">IF(ISNUMBER(SEARCH("Past Due",$A163)),TRUE,FALSE)</f>
        <v>1</v>
      </c>
      <c r="G163" s="3" t="b">
        <f t="shared" si="164"/>
        <v>1</v>
      </c>
      <c r="H163" s="2" t="s">
        <v>15</v>
      </c>
    </row>
    <row r="164" ht="15.75" customHeight="1">
      <c r="A164" s="2" t="s">
        <v>145</v>
      </c>
      <c r="B164" s="2" t="s">
        <v>145</v>
      </c>
      <c r="C164" s="3">
        <v>45570.791296296295</v>
      </c>
      <c r="D164" s="3" t="b">
        <f t="shared" si="2"/>
        <v>0</v>
      </c>
      <c r="E164" s="3" t="b">
        <f t="shared" si="3"/>
        <v>1</v>
      </c>
      <c r="F164" s="3" t="b">
        <f t="shared" ref="F164:G164" si="165">IF(ISNUMBER(SEARCH("Past Due",$A164)),TRUE,FALSE)</f>
        <v>0</v>
      </c>
      <c r="G164" s="3" t="b">
        <f t="shared" si="165"/>
        <v>0</v>
      </c>
      <c r="H164" s="2"/>
    </row>
    <row r="165" ht="15.75" customHeight="1">
      <c r="A165" s="2" t="s">
        <v>146</v>
      </c>
      <c r="B165" s="2" t="s">
        <v>146</v>
      </c>
      <c r="C165" s="3">
        <v>45448.77521990741</v>
      </c>
      <c r="D165" s="3" t="b">
        <f t="shared" si="2"/>
        <v>1</v>
      </c>
      <c r="E165" s="3" t="b">
        <f t="shared" si="3"/>
        <v>0</v>
      </c>
      <c r="F165" s="3" t="b">
        <f t="shared" ref="F165:G165" si="166">IF(ISNUMBER(SEARCH("Past Due",$A165)),TRUE,FALSE)</f>
        <v>0</v>
      </c>
      <c r="G165" s="3" t="b">
        <f t="shared" si="166"/>
        <v>0</v>
      </c>
      <c r="H165" s="2"/>
    </row>
    <row r="166" ht="15.75" customHeight="1">
      <c r="A166" s="2" t="s">
        <v>147</v>
      </c>
      <c r="B166" s="2" t="s">
        <v>147</v>
      </c>
      <c r="C166" s="2"/>
      <c r="D166" s="3" t="b">
        <f t="shared" si="2"/>
        <v>0</v>
      </c>
      <c r="E166" s="3" t="b">
        <f t="shared" si="3"/>
        <v>0</v>
      </c>
      <c r="F166" s="3" t="b">
        <f t="shared" ref="F166:G166" si="167">IF(ISNUMBER(SEARCH("Past Due",$A166)),TRUE,FALSE)</f>
        <v>0</v>
      </c>
      <c r="G166" s="3" t="b">
        <f t="shared" si="167"/>
        <v>0</v>
      </c>
      <c r="H166" s="2" t="s">
        <v>11</v>
      </c>
    </row>
    <row r="167" ht="15.75" customHeight="1">
      <c r="A167" s="2" t="s">
        <v>147</v>
      </c>
      <c r="B167" s="2" t="s">
        <v>147</v>
      </c>
      <c r="C167" s="2"/>
      <c r="D167" s="3" t="b">
        <f t="shared" si="2"/>
        <v>0</v>
      </c>
      <c r="E167" s="3" t="b">
        <f t="shared" si="3"/>
        <v>0</v>
      </c>
      <c r="F167" s="3" t="b">
        <f t="shared" ref="F167:G167" si="168">IF(ISNUMBER(SEARCH("Past Due",$A167)),TRUE,FALSE)</f>
        <v>0</v>
      </c>
      <c r="G167" s="3" t="b">
        <f t="shared" si="168"/>
        <v>0</v>
      </c>
      <c r="H167" s="2" t="s">
        <v>11</v>
      </c>
    </row>
    <row r="168" ht="15.75" customHeight="1">
      <c r="A168" s="2" t="s">
        <v>148</v>
      </c>
      <c r="B168" s="2" t="s">
        <v>148</v>
      </c>
      <c r="C168" s="3">
        <v>45478.776655092595</v>
      </c>
      <c r="D168" s="3" t="b">
        <f t="shared" si="2"/>
        <v>0</v>
      </c>
      <c r="E168" s="3" t="b">
        <f t="shared" si="3"/>
        <v>0</v>
      </c>
      <c r="F168" s="3" t="b">
        <f t="shared" ref="F168:G168" si="169">IF(ISNUMBER(SEARCH("Past Due",$A168)),TRUE,FALSE)</f>
        <v>0</v>
      </c>
      <c r="G168" s="3" t="b">
        <f t="shared" si="169"/>
        <v>0</v>
      </c>
      <c r="H168" s="2"/>
    </row>
    <row r="169" ht="15.75" customHeight="1">
      <c r="A169" s="2" t="s">
        <v>148</v>
      </c>
      <c r="B169" s="2" t="s">
        <v>148</v>
      </c>
      <c r="C169" s="3">
        <v>45540.89239583333</v>
      </c>
      <c r="D169" s="3" t="b">
        <f t="shared" si="2"/>
        <v>0</v>
      </c>
      <c r="E169" s="3" t="b">
        <f t="shared" si="3"/>
        <v>0</v>
      </c>
      <c r="F169" s="3" t="b">
        <f t="shared" ref="F169:G169" si="170">IF(ISNUMBER(SEARCH("Past Due",$A169)),TRUE,FALSE)</f>
        <v>0</v>
      </c>
      <c r="G169" s="3" t="b">
        <f t="shared" si="170"/>
        <v>0</v>
      </c>
      <c r="H169" s="2"/>
    </row>
    <row r="170" ht="15.75" customHeight="1">
      <c r="A170" s="2" t="s">
        <v>149</v>
      </c>
      <c r="B170" s="2" t="s">
        <v>149</v>
      </c>
      <c r="C170" s="3">
        <v>45570.82199074074</v>
      </c>
      <c r="D170" s="3" t="b">
        <f t="shared" si="2"/>
        <v>0</v>
      </c>
      <c r="E170" s="3" t="b">
        <f t="shared" si="3"/>
        <v>0</v>
      </c>
      <c r="F170" s="3" t="b">
        <f t="shared" ref="F170:G170" si="171">IF(ISNUMBER(SEARCH("Past Due",$A170)),TRUE,FALSE)</f>
        <v>1</v>
      </c>
      <c r="G170" s="3" t="b">
        <f t="shared" si="171"/>
        <v>1</v>
      </c>
      <c r="H170" s="2" t="s">
        <v>15</v>
      </c>
    </row>
    <row r="171" ht="15.75" customHeight="1">
      <c r="A171" s="2" t="s">
        <v>150</v>
      </c>
      <c r="B171" s="2" t="s">
        <v>150</v>
      </c>
      <c r="C171" s="2"/>
      <c r="D171" s="3" t="b">
        <f t="shared" si="2"/>
        <v>0</v>
      </c>
      <c r="E171" s="3" t="b">
        <f t="shared" si="3"/>
        <v>0</v>
      </c>
      <c r="F171" s="3" t="b">
        <f t="shared" ref="F171:G171" si="172">IF(ISNUMBER(SEARCH("Past Due",$A171)),TRUE,FALSE)</f>
        <v>0</v>
      </c>
      <c r="G171" s="3" t="b">
        <f t="shared" si="172"/>
        <v>0</v>
      </c>
      <c r="H171" s="2" t="s">
        <v>15</v>
      </c>
    </row>
    <row r="172" ht="15.75" customHeight="1">
      <c r="A172" s="2" t="s">
        <v>151</v>
      </c>
      <c r="B172" s="2" t="s">
        <v>151</v>
      </c>
      <c r="C172" s="3">
        <v>45540.801145833335</v>
      </c>
      <c r="D172" s="3" t="b">
        <f t="shared" si="2"/>
        <v>1</v>
      </c>
      <c r="E172" s="3" t="b">
        <f t="shared" si="3"/>
        <v>0</v>
      </c>
      <c r="F172" s="3" t="b">
        <f t="shared" ref="F172:G172" si="173">IF(ISNUMBER(SEARCH("Past Due",$A172)),TRUE,FALSE)</f>
        <v>0</v>
      </c>
      <c r="G172" s="3" t="b">
        <f t="shared" si="173"/>
        <v>0</v>
      </c>
      <c r="H172" s="2"/>
    </row>
    <row r="173" ht="15.75" customHeight="1">
      <c r="A173" s="2" t="s">
        <v>152</v>
      </c>
      <c r="B173" s="2" t="s">
        <v>152</v>
      </c>
      <c r="C173" s="3">
        <v>45448.80979166667</v>
      </c>
      <c r="D173" s="3" t="b">
        <f t="shared" si="2"/>
        <v>0</v>
      </c>
      <c r="E173" s="3" t="b">
        <f t="shared" si="3"/>
        <v>1</v>
      </c>
      <c r="F173" s="3" t="b">
        <f t="shared" ref="F173:G173" si="174">IF(ISNUMBER(SEARCH("Past Due",$A173)),TRUE,FALSE)</f>
        <v>0</v>
      </c>
      <c r="G173" s="3" t="b">
        <f t="shared" si="174"/>
        <v>0</v>
      </c>
      <c r="H173" s="2"/>
    </row>
    <row r="174" ht="15.75" customHeight="1">
      <c r="A174" s="2" t="s">
        <v>153</v>
      </c>
      <c r="B174" s="2" t="s">
        <v>153</v>
      </c>
      <c r="C174" s="2"/>
      <c r="D174" s="3" t="b">
        <f t="shared" si="2"/>
        <v>0</v>
      </c>
      <c r="E174" s="3" t="b">
        <f t="shared" si="3"/>
        <v>0</v>
      </c>
      <c r="F174" s="3" t="b">
        <f t="shared" ref="F174:G174" si="175">IF(ISNUMBER(SEARCH("Past Due",$A174)),TRUE,FALSE)</f>
        <v>0</v>
      </c>
      <c r="G174" s="3" t="b">
        <f t="shared" si="175"/>
        <v>0</v>
      </c>
      <c r="H174" s="2" t="s">
        <v>11</v>
      </c>
    </row>
    <row r="175" ht="15.75" customHeight="1">
      <c r="A175" s="2" t="s">
        <v>154</v>
      </c>
      <c r="B175" s="2" t="s">
        <v>154</v>
      </c>
      <c r="C175" s="3">
        <v>45478.77375</v>
      </c>
      <c r="D175" s="3" t="b">
        <f t="shared" si="2"/>
        <v>0</v>
      </c>
      <c r="E175" s="3" t="b">
        <f t="shared" si="3"/>
        <v>0</v>
      </c>
      <c r="F175" s="3" t="b">
        <f t="shared" ref="F175:G175" si="176">IF(ISNUMBER(SEARCH("Past Due",$A175)),TRUE,FALSE)</f>
        <v>0</v>
      </c>
      <c r="G175" s="3" t="b">
        <f t="shared" si="176"/>
        <v>0</v>
      </c>
      <c r="H175" s="2"/>
    </row>
    <row r="176" ht="15.75" customHeight="1">
      <c r="A176" s="2" t="s">
        <v>154</v>
      </c>
      <c r="B176" s="2" t="s">
        <v>154</v>
      </c>
      <c r="C176" s="3">
        <v>45540.9546412037</v>
      </c>
      <c r="D176" s="3" t="b">
        <f t="shared" si="2"/>
        <v>0</v>
      </c>
      <c r="E176" s="3" t="b">
        <f t="shared" si="3"/>
        <v>0</v>
      </c>
      <c r="F176" s="3" t="b">
        <f t="shared" ref="F176:G176" si="177">IF(ISNUMBER(SEARCH("Past Due",$A176)),TRUE,FALSE)</f>
        <v>0</v>
      </c>
      <c r="G176" s="3" t="b">
        <f t="shared" si="177"/>
        <v>0</v>
      </c>
      <c r="H176" s="2"/>
    </row>
    <row r="177" ht="15.75" customHeight="1">
      <c r="A177" s="2" t="s">
        <v>155</v>
      </c>
      <c r="B177" s="2" t="s">
        <v>155</v>
      </c>
      <c r="C177" s="3">
        <v>45570.863344907404</v>
      </c>
      <c r="D177" s="3" t="b">
        <f t="shared" si="2"/>
        <v>0</v>
      </c>
      <c r="E177" s="3" t="b">
        <f t="shared" si="3"/>
        <v>0</v>
      </c>
      <c r="F177" s="3" t="b">
        <f t="shared" ref="F177:G177" si="178">IF(ISNUMBER(SEARCH("Past Due",$A177)),TRUE,FALSE)</f>
        <v>1</v>
      </c>
      <c r="G177" s="3" t="b">
        <f t="shared" si="178"/>
        <v>1</v>
      </c>
      <c r="H177" s="2" t="s">
        <v>15</v>
      </c>
    </row>
    <row r="178" ht="15.75" customHeight="1">
      <c r="A178" s="2" t="s">
        <v>156</v>
      </c>
      <c r="B178" s="2" t="s">
        <v>156</v>
      </c>
      <c r="C178" s="3">
        <v>45601.756574074076</v>
      </c>
      <c r="D178" s="3" t="b">
        <f t="shared" si="2"/>
        <v>0</v>
      </c>
      <c r="E178" s="3" t="b">
        <f t="shared" si="3"/>
        <v>0</v>
      </c>
      <c r="F178" s="3" t="b">
        <f t="shared" ref="F178:G178" si="179">IF(ISNUMBER(SEARCH("Past Due",$A178)),TRUE,FALSE)</f>
        <v>0</v>
      </c>
      <c r="G178" s="3" t="b">
        <f t="shared" si="179"/>
        <v>0</v>
      </c>
      <c r="H178" s="2"/>
    </row>
    <row r="179" ht="15.75" customHeight="1">
      <c r="A179" s="2" t="s">
        <v>157</v>
      </c>
      <c r="B179" s="2" t="s">
        <v>157</v>
      </c>
      <c r="C179" s="2"/>
      <c r="D179" s="3" t="b">
        <f t="shared" si="2"/>
        <v>0</v>
      </c>
      <c r="E179" s="3" t="b">
        <f t="shared" si="3"/>
        <v>0</v>
      </c>
      <c r="F179" s="3" t="b">
        <f t="shared" ref="F179:G179" si="180">IF(ISNUMBER(SEARCH("Past Due",$A179)),TRUE,FALSE)</f>
        <v>0</v>
      </c>
      <c r="G179" s="3" t="b">
        <f t="shared" si="180"/>
        <v>0</v>
      </c>
      <c r="H179" s="2" t="s">
        <v>17</v>
      </c>
    </row>
    <row r="180" ht="15.75" customHeight="1">
      <c r="A180" s="2" t="s">
        <v>158</v>
      </c>
      <c r="B180" s="2" t="s">
        <v>158</v>
      </c>
      <c r="C180" s="3">
        <v>45540.79201388889</v>
      </c>
      <c r="D180" s="3" t="b">
        <f t="shared" si="2"/>
        <v>1</v>
      </c>
      <c r="E180" s="3" t="b">
        <f t="shared" si="3"/>
        <v>0</v>
      </c>
      <c r="F180" s="3" t="b">
        <f t="shared" ref="F180:G180" si="181">IF(ISNUMBER(SEARCH("Past Due",$A180)),TRUE,FALSE)</f>
        <v>0</v>
      </c>
      <c r="G180" s="3" t="b">
        <f t="shared" si="181"/>
        <v>0</v>
      </c>
      <c r="H180" s="2"/>
    </row>
    <row r="181" ht="15.75" customHeight="1">
      <c r="A181" s="2" t="s">
        <v>159</v>
      </c>
      <c r="B181" s="2" t="s">
        <v>159</v>
      </c>
      <c r="C181" s="3">
        <v>45448.802766203706</v>
      </c>
      <c r="D181" s="3" t="b">
        <f t="shared" si="2"/>
        <v>0</v>
      </c>
      <c r="E181" s="3" t="b">
        <f t="shared" si="3"/>
        <v>1</v>
      </c>
      <c r="F181" s="3" t="b">
        <f t="shared" ref="F181:G181" si="182">IF(ISNUMBER(SEARCH("Past Due",$A181)),TRUE,FALSE)</f>
        <v>0</v>
      </c>
      <c r="G181" s="3" t="b">
        <f t="shared" si="182"/>
        <v>0</v>
      </c>
      <c r="H181" s="2"/>
    </row>
    <row r="182" ht="15.75" customHeight="1">
      <c r="A182" s="2" t="s">
        <v>160</v>
      </c>
      <c r="B182" s="2" t="s">
        <v>160</v>
      </c>
      <c r="C182" s="2"/>
      <c r="D182" s="3" t="b">
        <f t="shared" si="2"/>
        <v>0</v>
      </c>
      <c r="E182" s="3" t="b">
        <f t="shared" si="3"/>
        <v>0</v>
      </c>
      <c r="F182" s="3" t="b">
        <f t="shared" ref="F182:G182" si="183">IF(ISNUMBER(SEARCH("Past Due",$A182)),TRUE,FALSE)</f>
        <v>0</v>
      </c>
      <c r="G182" s="3" t="b">
        <f t="shared" si="183"/>
        <v>0</v>
      </c>
      <c r="H182" s="2" t="s">
        <v>11</v>
      </c>
    </row>
    <row r="183" ht="15.75" customHeight="1">
      <c r="A183" s="2" t="s">
        <v>160</v>
      </c>
      <c r="B183" s="2" t="s">
        <v>160</v>
      </c>
      <c r="C183" s="2"/>
      <c r="D183" s="3" t="b">
        <f t="shared" si="2"/>
        <v>0</v>
      </c>
      <c r="E183" s="3" t="b">
        <f t="shared" si="3"/>
        <v>0</v>
      </c>
      <c r="F183" s="3" t="b">
        <f t="shared" ref="F183:G183" si="184">IF(ISNUMBER(SEARCH("Past Due",$A183)),TRUE,FALSE)</f>
        <v>0</v>
      </c>
      <c r="G183" s="3" t="b">
        <f t="shared" si="184"/>
        <v>0</v>
      </c>
      <c r="H183" s="2" t="s">
        <v>15</v>
      </c>
    </row>
    <row r="184" ht="15.75" customHeight="1">
      <c r="A184" s="2" t="s">
        <v>160</v>
      </c>
      <c r="B184" s="2" t="s">
        <v>160</v>
      </c>
      <c r="C184" s="2"/>
      <c r="D184" s="3" t="b">
        <f t="shared" si="2"/>
        <v>0</v>
      </c>
      <c r="E184" s="3" t="b">
        <f t="shared" si="3"/>
        <v>0</v>
      </c>
      <c r="F184" s="3" t="b">
        <f t="shared" ref="F184:G184" si="185">IF(ISNUMBER(SEARCH("Past Due",$A184)),TRUE,FALSE)</f>
        <v>0</v>
      </c>
      <c r="G184" s="3" t="b">
        <f t="shared" si="185"/>
        <v>0</v>
      </c>
      <c r="H184" s="2" t="s">
        <v>15</v>
      </c>
    </row>
    <row r="185" ht="15.75" customHeight="1">
      <c r="A185" s="2" t="s">
        <v>161</v>
      </c>
      <c r="B185" s="2" t="s">
        <v>161</v>
      </c>
      <c r="C185" s="3">
        <v>45417.0</v>
      </c>
      <c r="D185" s="3" t="b">
        <f t="shared" si="2"/>
        <v>0</v>
      </c>
      <c r="E185" s="3" t="b">
        <f t="shared" si="3"/>
        <v>0</v>
      </c>
      <c r="F185" s="3" t="b">
        <f t="shared" ref="F185:G185" si="186">IF(ISNUMBER(SEARCH("Past Due",$A185)),TRUE,FALSE)</f>
        <v>1</v>
      </c>
      <c r="G185" s="3" t="b">
        <f t="shared" si="186"/>
        <v>1</v>
      </c>
      <c r="H185" s="2" t="s">
        <v>15</v>
      </c>
    </row>
    <row r="186" ht="15.75" customHeight="1">
      <c r="A186" s="2" t="s">
        <v>162</v>
      </c>
      <c r="B186" s="2" t="s">
        <v>162</v>
      </c>
      <c r="C186" s="3">
        <v>45570.76902777778</v>
      </c>
      <c r="D186" s="3" t="b">
        <f t="shared" si="2"/>
        <v>1</v>
      </c>
      <c r="E186" s="3" t="b">
        <f t="shared" si="3"/>
        <v>0</v>
      </c>
      <c r="F186" s="3" t="b">
        <f t="shared" ref="F186:G186" si="187">IF(ISNUMBER(SEARCH("Past Due",$A186)),TRUE,FALSE)</f>
        <v>0</v>
      </c>
      <c r="G186" s="3" t="b">
        <f t="shared" si="187"/>
        <v>0</v>
      </c>
      <c r="H186" s="2"/>
    </row>
    <row r="187" ht="15.75" customHeight="1">
      <c r="A187" s="2" t="s">
        <v>163</v>
      </c>
      <c r="B187" s="2" t="s">
        <v>163</v>
      </c>
      <c r="C187" s="3">
        <v>45478.80479166667</v>
      </c>
      <c r="D187" s="3" t="b">
        <f t="shared" si="2"/>
        <v>0</v>
      </c>
      <c r="E187" s="3" t="b">
        <f t="shared" si="3"/>
        <v>1</v>
      </c>
      <c r="F187" s="3" t="b">
        <f t="shared" ref="F187:G187" si="188">IF(ISNUMBER(SEARCH("Past Due",$A187)),TRUE,FALSE)</f>
        <v>0</v>
      </c>
      <c r="G187" s="3" t="b">
        <f t="shared" si="188"/>
        <v>0</v>
      </c>
      <c r="H187" s="2"/>
    </row>
    <row r="188" ht="15.75" customHeight="1">
      <c r="A188" s="2" t="s">
        <v>164</v>
      </c>
      <c r="B188" s="2" t="s">
        <v>164</v>
      </c>
      <c r="C188" s="2"/>
      <c r="D188" s="3" t="b">
        <f t="shared" si="2"/>
        <v>0</v>
      </c>
      <c r="E188" s="3" t="b">
        <f t="shared" si="3"/>
        <v>0</v>
      </c>
      <c r="F188" s="3" t="b">
        <f t="shared" ref="F188:G188" si="189">IF(ISNUMBER(SEARCH("Past Due",$A188)),TRUE,FALSE)</f>
        <v>0</v>
      </c>
      <c r="G188" s="3" t="b">
        <f t="shared" si="189"/>
        <v>0</v>
      </c>
      <c r="H188" s="2" t="s">
        <v>11</v>
      </c>
    </row>
    <row r="189" ht="15.75" customHeight="1">
      <c r="A189" s="2" t="s">
        <v>164</v>
      </c>
      <c r="B189" s="2" t="s">
        <v>164</v>
      </c>
      <c r="C189" s="2"/>
      <c r="D189" s="3" t="b">
        <f t="shared" si="2"/>
        <v>0</v>
      </c>
      <c r="E189" s="3" t="b">
        <f t="shared" si="3"/>
        <v>0</v>
      </c>
      <c r="F189" s="3" t="b">
        <f t="shared" ref="F189:G189" si="190">IF(ISNUMBER(SEARCH("Past Due",$A189)),TRUE,FALSE)</f>
        <v>0</v>
      </c>
      <c r="G189" s="3" t="b">
        <f t="shared" si="190"/>
        <v>0</v>
      </c>
      <c r="H189" s="2" t="s">
        <v>11</v>
      </c>
    </row>
    <row r="190" ht="15.75" customHeight="1">
      <c r="A190" s="2" t="s">
        <v>165</v>
      </c>
      <c r="B190" s="2" t="s">
        <v>165</v>
      </c>
      <c r="C190" s="3">
        <v>45448.76060185185</v>
      </c>
      <c r="D190" s="3" t="b">
        <f t="shared" si="2"/>
        <v>0</v>
      </c>
      <c r="E190" s="3" t="b">
        <f t="shared" si="3"/>
        <v>0</v>
      </c>
      <c r="F190" s="3" t="b">
        <f t="shared" ref="F190:G190" si="191">IF(ISNUMBER(SEARCH("Past Due",$A190)),TRUE,FALSE)</f>
        <v>0</v>
      </c>
      <c r="G190" s="3" t="b">
        <f t="shared" si="191"/>
        <v>0</v>
      </c>
      <c r="H190" s="2"/>
    </row>
    <row r="191" ht="15.75" customHeight="1">
      <c r="A191" s="2" t="s">
        <v>165</v>
      </c>
      <c r="B191" s="2" t="s">
        <v>165</v>
      </c>
      <c r="C191" s="3">
        <v>45509.89375</v>
      </c>
      <c r="D191" s="3" t="b">
        <f t="shared" si="2"/>
        <v>0</v>
      </c>
      <c r="E191" s="3" t="b">
        <f t="shared" si="3"/>
        <v>0</v>
      </c>
      <c r="F191" s="3" t="b">
        <f t="shared" ref="F191:G191" si="192">IF(ISNUMBER(SEARCH("Past Due",$A191)),TRUE,FALSE)</f>
        <v>0</v>
      </c>
      <c r="G191" s="3" t="b">
        <f t="shared" si="192"/>
        <v>0</v>
      </c>
      <c r="H191" s="2"/>
    </row>
    <row r="192" ht="15.75" customHeight="1">
      <c r="A192" s="2" t="s">
        <v>166</v>
      </c>
      <c r="B192" s="2" t="s">
        <v>166</v>
      </c>
      <c r="C192" s="2"/>
      <c r="D192" s="3" t="b">
        <f t="shared" si="2"/>
        <v>0</v>
      </c>
      <c r="E192" s="3" t="b">
        <f t="shared" si="3"/>
        <v>0</v>
      </c>
      <c r="F192" s="3" t="b">
        <f t="shared" ref="F192:G192" si="193">IF(ISNUMBER(SEARCH("Past Due",$A192)),TRUE,FALSE)</f>
        <v>0</v>
      </c>
      <c r="G192" s="3" t="b">
        <f t="shared" si="193"/>
        <v>0</v>
      </c>
      <c r="H192" s="2" t="s">
        <v>11</v>
      </c>
    </row>
    <row r="193" ht="15.75" customHeight="1">
      <c r="A193" s="2" t="s">
        <v>166</v>
      </c>
      <c r="B193" s="2" t="s">
        <v>166</v>
      </c>
      <c r="C193" s="2"/>
      <c r="D193" s="3" t="b">
        <f t="shared" si="2"/>
        <v>0</v>
      </c>
      <c r="E193" s="3" t="b">
        <f t="shared" si="3"/>
        <v>0</v>
      </c>
      <c r="F193" s="3" t="b">
        <f t="shared" ref="F193:G193" si="194">IF(ISNUMBER(SEARCH("Past Due",$A193)),TRUE,FALSE)</f>
        <v>0</v>
      </c>
      <c r="G193" s="3" t="b">
        <f t="shared" si="194"/>
        <v>0</v>
      </c>
      <c r="H193" s="2" t="s">
        <v>11</v>
      </c>
    </row>
    <row r="194" ht="15.75" customHeight="1">
      <c r="A194" s="2" t="s">
        <v>167</v>
      </c>
      <c r="B194" s="2" t="s">
        <v>167</v>
      </c>
      <c r="C194" s="3">
        <v>45509.75344907407</v>
      </c>
      <c r="D194" s="3" t="b">
        <f t="shared" si="2"/>
        <v>0</v>
      </c>
      <c r="E194" s="3" t="b">
        <f t="shared" si="3"/>
        <v>0</v>
      </c>
      <c r="F194" s="3" t="b">
        <f t="shared" ref="F194:G194" si="195">IF(ISNUMBER(SEARCH("Past Due",$A194)),TRUE,FALSE)</f>
        <v>0</v>
      </c>
      <c r="G194" s="3" t="b">
        <f t="shared" si="195"/>
        <v>0</v>
      </c>
      <c r="H194" s="2"/>
    </row>
    <row r="195" ht="15.75" customHeight="1">
      <c r="A195" s="2" t="s">
        <v>167</v>
      </c>
      <c r="B195" s="2" t="s">
        <v>167</v>
      </c>
      <c r="C195" s="3">
        <v>45570.929502314815</v>
      </c>
      <c r="D195" s="3" t="b">
        <f t="shared" si="2"/>
        <v>0</v>
      </c>
      <c r="E195" s="3" t="b">
        <f t="shared" si="3"/>
        <v>0</v>
      </c>
      <c r="F195" s="3" t="b">
        <f t="shared" ref="F195:G195" si="196">IF(ISNUMBER(SEARCH("Past Due",$A195)),TRUE,FALSE)</f>
        <v>0</v>
      </c>
      <c r="G195" s="3" t="b">
        <f t="shared" si="196"/>
        <v>0</v>
      </c>
      <c r="H195" s="2"/>
    </row>
    <row r="196" ht="15.75" customHeight="1">
      <c r="A196" s="2" t="s">
        <v>168</v>
      </c>
      <c r="B196" s="2" t="s">
        <v>168</v>
      </c>
      <c r="C196" s="3">
        <v>45601.83724537037</v>
      </c>
      <c r="D196" s="3" t="b">
        <f t="shared" si="2"/>
        <v>0</v>
      </c>
      <c r="E196" s="3" t="b">
        <f t="shared" si="3"/>
        <v>0</v>
      </c>
      <c r="F196" s="3" t="b">
        <f t="shared" ref="F196:G196" si="197">IF(ISNUMBER(SEARCH("Past Due",$A196)),TRUE,FALSE)</f>
        <v>1</v>
      </c>
      <c r="G196" s="3" t="b">
        <f t="shared" si="197"/>
        <v>1</v>
      </c>
      <c r="H196" s="2" t="s">
        <v>15</v>
      </c>
    </row>
    <row r="197" ht="15.75" customHeight="1">
      <c r="A197" s="2" t="s">
        <v>169</v>
      </c>
      <c r="B197" s="2" t="s">
        <v>169</v>
      </c>
      <c r="C197" s="2"/>
      <c r="D197" s="3" t="b">
        <f t="shared" si="2"/>
        <v>0</v>
      </c>
      <c r="E197" s="3" t="b">
        <f t="shared" si="3"/>
        <v>0</v>
      </c>
      <c r="F197" s="3" t="b">
        <f t="shared" ref="F197:G197" si="198">IF(ISNUMBER(SEARCH("Past Due",$A197)),TRUE,FALSE)</f>
        <v>0</v>
      </c>
      <c r="G197" s="3" t="b">
        <f t="shared" si="198"/>
        <v>0</v>
      </c>
      <c r="H197" s="2" t="s">
        <v>11</v>
      </c>
    </row>
    <row r="198" ht="15.75" customHeight="1">
      <c r="A198" s="2" t="s">
        <v>169</v>
      </c>
      <c r="B198" s="2" t="s">
        <v>169</v>
      </c>
      <c r="C198" s="2"/>
      <c r="D198" s="3" t="b">
        <f t="shared" si="2"/>
        <v>0</v>
      </c>
      <c r="E198" s="3" t="b">
        <f t="shared" si="3"/>
        <v>0</v>
      </c>
      <c r="F198" s="3" t="b">
        <f t="shared" ref="F198:G198" si="199">IF(ISNUMBER(SEARCH("Past Due",$A198)),TRUE,FALSE)</f>
        <v>0</v>
      </c>
      <c r="G198" s="3" t="b">
        <f t="shared" si="199"/>
        <v>0</v>
      </c>
      <c r="H198" s="2" t="s">
        <v>11</v>
      </c>
    </row>
    <row r="199" ht="15.75" customHeight="1">
      <c r="A199" s="2" t="s">
        <v>169</v>
      </c>
      <c r="B199" s="2" t="s">
        <v>169</v>
      </c>
      <c r="C199" s="2"/>
      <c r="D199" s="3" t="b">
        <f t="shared" si="2"/>
        <v>0</v>
      </c>
      <c r="E199" s="3" t="b">
        <f t="shared" si="3"/>
        <v>0</v>
      </c>
      <c r="F199" s="3" t="b">
        <f t="shared" ref="F199:G199" si="200">IF(ISNUMBER(SEARCH("Past Due",$A199)),TRUE,FALSE)</f>
        <v>0</v>
      </c>
      <c r="G199" s="3" t="b">
        <f t="shared" si="200"/>
        <v>0</v>
      </c>
      <c r="H199" s="2" t="s">
        <v>11</v>
      </c>
    </row>
    <row r="200" ht="15.75" customHeight="1">
      <c r="A200" s="2" t="s">
        <v>170</v>
      </c>
      <c r="B200" s="2" t="s">
        <v>170</v>
      </c>
      <c r="C200" s="3">
        <v>45509.77391203704</v>
      </c>
      <c r="D200" s="3" t="b">
        <f t="shared" si="2"/>
        <v>0</v>
      </c>
      <c r="E200" s="3" t="b">
        <f t="shared" si="3"/>
        <v>0</v>
      </c>
      <c r="F200" s="3" t="b">
        <f t="shared" ref="F200:G200" si="201">IF(ISNUMBER(SEARCH("Past Due",$A200)),TRUE,FALSE)</f>
        <v>0</v>
      </c>
      <c r="G200" s="3" t="b">
        <f t="shared" si="201"/>
        <v>0</v>
      </c>
      <c r="H200" s="2"/>
    </row>
    <row r="201" ht="15.75" customHeight="1">
      <c r="A201" s="2" t="s">
        <v>170</v>
      </c>
      <c r="B201" s="2" t="s">
        <v>170</v>
      </c>
      <c r="C201" s="3">
        <v>45570.91263888889</v>
      </c>
      <c r="D201" s="3" t="b">
        <f t="shared" si="2"/>
        <v>0</v>
      </c>
      <c r="E201" s="3" t="b">
        <f t="shared" si="3"/>
        <v>0</v>
      </c>
      <c r="F201" s="3" t="b">
        <f t="shared" ref="F201:G201" si="202">IF(ISNUMBER(SEARCH("Past Due",$A201)),TRUE,FALSE)</f>
        <v>0</v>
      </c>
      <c r="G201" s="3" t="b">
        <f t="shared" si="202"/>
        <v>0</v>
      </c>
      <c r="H201" s="2"/>
    </row>
    <row r="202" ht="15.75" customHeight="1">
      <c r="A202" s="2" t="s">
        <v>171</v>
      </c>
      <c r="B202" s="2" t="s">
        <v>171</v>
      </c>
      <c r="C202" s="3">
        <v>45601.82809027778</v>
      </c>
      <c r="D202" s="3" t="b">
        <f t="shared" si="2"/>
        <v>0</v>
      </c>
      <c r="E202" s="3" t="b">
        <f t="shared" si="3"/>
        <v>0</v>
      </c>
      <c r="F202" s="3" t="b">
        <f t="shared" ref="F202:G202" si="203">IF(ISNUMBER(SEARCH("Past Due",$A202)),TRUE,FALSE)</f>
        <v>1</v>
      </c>
      <c r="G202" s="3" t="b">
        <f t="shared" si="203"/>
        <v>1</v>
      </c>
      <c r="H202" s="2" t="s">
        <v>15</v>
      </c>
    </row>
    <row r="203" ht="15.75" customHeight="1">
      <c r="A203" s="2" t="s">
        <v>172</v>
      </c>
      <c r="B203" s="2" t="s">
        <v>172</v>
      </c>
      <c r="C203" s="2"/>
      <c r="D203" s="3" t="b">
        <f t="shared" si="2"/>
        <v>0</v>
      </c>
      <c r="E203" s="3" t="b">
        <f t="shared" si="3"/>
        <v>0</v>
      </c>
      <c r="F203" s="3" t="b">
        <f t="shared" ref="F203:G203" si="204">IF(ISNUMBER(SEARCH("Past Due",$A203)),TRUE,FALSE)</f>
        <v>0</v>
      </c>
      <c r="G203" s="3" t="b">
        <f t="shared" si="204"/>
        <v>0</v>
      </c>
      <c r="H203" s="2" t="s">
        <v>11</v>
      </c>
    </row>
    <row r="204" ht="15.75" customHeight="1">
      <c r="A204" s="2" t="s">
        <v>172</v>
      </c>
      <c r="B204" s="2" t="s">
        <v>172</v>
      </c>
      <c r="C204" s="2"/>
      <c r="D204" s="3" t="b">
        <f t="shared" si="2"/>
        <v>0</v>
      </c>
      <c r="E204" s="3" t="b">
        <f t="shared" si="3"/>
        <v>0</v>
      </c>
      <c r="F204" s="3" t="b">
        <f t="shared" ref="F204:G204" si="205">IF(ISNUMBER(SEARCH("Past Due",$A204)),TRUE,FALSE)</f>
        <v>0</v>
      </c>
      <c r="G204" s="3" t="b">
        <f t="shared" si="205"/>
        <v>0</v>
      </c>
      <c r="H204" s="2" t="s">
        <v>11</v>
      </c>
    </row>
    <row r="205" ht="15.75" customHeight="1">
      <c r="A205" s="2" t="s">
        <v>172</v>
      </c>
      <c r="B205" s="2" t="s">
        <v>172</v>
      </c>
      <c r="C205" s="2"/>
      <c r="D205" s="3" t="b">
        <f t="shared" si="2"/>
        <v>0</v>
      </c>
      <c r="E205" s="3" t="b">
        <f t="shared" si="3"/>
        <v>0</v>
      </c>
      <c r="F205" s="3" t="b">
        <f t="shared" ref="F205:G205" si="206">IF(ISNUMBER(SEARCH("Past Due",$A205)),TRUE,FALSE)</f>
        <v>0</v>
      </c>
      <c r="G205" s="3" t="b">
        <f t="shared" si="206"/>
        <v>0</v>
      </c>
      <c r="H205" s="2" t="s">
        <v>11</v>
      </c>
    </row>
    <row r="206" ht="15.75" customHeight="1">
      <c r="A206" s="2" t="s">
        <v>172</v>
      </c>
      <c r="B206" s="2" t="s">
        <v>172</v>
      </c>
      <c r="C206" s="2"/>
      <c r="D206" s="3" t="b">
        <f t="shared" si="2"/>
        <v>0</v>
      </c>
      <c r="E206" s="3" t="b">
        <f t="shared" si="3"/>
        <v>0</v>
      </c>
      <c r="F206" s="3" t="b">
        <f t="shared" ref="F206:G206" si="207">IF(ISNUMBER(SEARCH("Past Due",$A206)),TRUE,FALSE)</f>
        <v>0</v>
      </c>
      <c r="G206" s="3" t="b">
        <f t="shared" si="207"/>
        <v>0</v>
      </c>
      <c r="H206" s="2" t="s">
        <v>15</v>
      </c>
    </row>
    <row r="207" ht="15.75" customHeight="1">
      <c r="A207" s="2" t="s">
        <v>173</v>
      </c>
      <c r="B207" s="2" t="s">
        <v>173</v>
      </c>
      <c r="C207" s="3">
        <v>45417.0</v>
      </c>
      <c r="D207" s="3" t="b">
        <f t="shared" si="2"/>
        <v>0</v>
      </c>
      <c r="E207" s="3" t="b">
        <f t="shared" si="3"/>
        <v>0</v>
      </c>
      <c r="F207" s="3" t="b">
        <f t="shared" ref="F207:G207" si="208">IF(ISNUMBER(SEARCH("Past Due",$A207)),TRUE,FALSE)</f>
        <v>0</v>
      </c>
      <c r="G207" s="3" t="b">
        <f t="shared" si="208"/>
        <v>0</v>
      </c>
      <c r="H207" s="2"/>
    </row>
    <row r="208" ht="15.75" customHeight="1">
      <c r="A208" s="2" t="s">
        <v>173</v>
      </c>
      <c r="B208" s="2" t="s">
        <v>173</v>
      </c>
      <c r="C208" s="3">
        <v>45478.967986111114</v>
      </c>
      <c r="D208" s="3" t="b">
        <f t="shared" si="2"/>
        <v>0</v>
      </c>
      <c r="E208" s="3" t="b">
        <f t="shared" si="3"/>
        <v>0</v>
      </c>
      <c r="F208" s="3" t="b">
        <f t="shared" ref="F208:G208" si="209">IF(ISNUMBER(SEARCH("Past Due",$A208)),TRUE,FALSE)</f>
        <v>0</v>
      </c>
      <c r="G208" s="3" t="b">
        <f t="shared" si="209"/>
        <v>0</v>
      </c>
      <c r="H208" s="2"/>
    </row>
    <row r="209" ht="15.75" customHeight="1">
      <c r="A209" s="2" t="s">
        <v>174</v>
      </c>
      <c r="B209" s="2" t="s">
        <v>174</v>
      </c>
      <c r="C209" s="3">
        <v>45509.866122685184</v>
      </c>
      <c r="D209" s="3" t="b">
        <f t="shared" si="2"/>
        <v>0</v>
      </c>
      <c r="E209" s="3" t="b">
        <f t="shared" si="3"/>
        <v>0</v>
      </c>
      <c r="F209" s="3" t="b">
        <f t="shared" ref="F209:G209" si="210">IF(ISNUMBER(SEARCH("Past Due",$A209)),TRUE,FALSE)</f>
        <v>1</v>
      </c>
      <c r="G209" s="3" t="b">
        <f t="shared" si="210"/>
        <v>1</v>
      </c>
      <c r="H209" s="2" t="s">
        <v>15</v>
      </c>
    </row>
    <row r="210" ht="15.75" customHeight="1">
      <c r="A210" s="2" t="s">
        <v>175</v>
      </c>
      <c r="B210" s="2" t="s">
        <v>175</v>
      </c>
      <c r="C210" s="3">
        <v>45570.80547453704</v>
      </c>
      <c r="D210" s="3" t="b">
        <f t="shared" si="2"/>
        <v>0</v>
      </c>
      <c r="E210" s="3" t="b">
        <f t="shared" si="3"/>
        <v>1</v>
      </c>
      <c r="F210" s="3" t="b">
        <f t="shared" ref="F210:G210" si="211">IF(ISNUMBER(SEARCH("Past Due",$A210)),TRUE,FALSE)</f>
        <v>0</v>
      </c>
      <c r="G210" s="3" t="b">
        <f t="shared" si="211"/>
        <v>0</v>
      </c>
      <c r="H210" s="2"/>
    </row>
    <row r="211" ht="15.75" customHeight="1">
      <c r="A211" s="2" t="s">
        <v>176</v>
      </c>
      <c r="B211" s="2" t="s">
        <v>176</v>
      </c>
      <c r="C211" s="2"/>
      <c r="D211" s="3" t="b">
        <f t="shared" si="2"/>
        <v>0</v>
      </c>
      <c r="E211" s="3" t="b">
        <f t="shared" si="3"/>
        <v>0</v>
      </c>
      <c r="F211" s="3" t="b">
        <f t="shared" ref="F211:G211" si="212">IF(ISNUMBER(SEARCH("Past Due",$A211)),TRUE,FALSE)</f>
        <v>0</v>
      </c>
      <c r="G211" s="3" t="b">
        <f t="shared" si="212"/>
        <v>0</v>
      </c>
      <c r="H211" s="2" t="s">
        <v>11</v>
      </c>
    </row>
    <row r="212" ht="15.75" customHeight="1">
      <c r="A212" s="2" t="s">
        <v>177</v>
      </c>
      <c r="B212" s="2" t="s">
        <v>177</v>
      </c>
      <c r="C212" s="3">
        <v>45509.76144675926</v>
      </c>
      <c r="D212" s="3" t="b">
        <f t="shared" si="2"/>
        <v>0</v>
      </c>
      <c r="E212" s="3" t="b">
        <f t="shared" si="3"/>
        <v>0</v>
      </c>
      <c r="F212" s="3" t="b">
        <f t="shared" ref="F212:G212" si="213">IF(ISNUMBER(SEARCH("Past Due",$A212)),TRUE,FALSE)</f>
        <v>0</v>
      </c>
      <c r="G212" s="3" t="b">
        <f t="shared" si="213"/>
        <v>0</v>
      </c>
      <c r="H212" s="2"/>
    </row>
    <row r="213" ht="15.75" customHeight="1">
      <c r="A213" s="2" t="s">
        <v>178</v>
      </c>
      <c r="B213" s="2" t="s">
        <v>178</v>
      </c>
      <c r="C213" s="2"/>
      <c r="D213" s="3" t="b">
        <f t="shared" si="2"/>
        <v>0</v>
      </c>
      <c r="E213" s="3" t="b">
        <f t="shared" si="3"/>
        <v>0</v>
      </c>
      <c r="F213" s="3" t="b">
        <f t="shared" ref="F213:G213" si="214">IF(ISNUMBER(SEARCH("Past Due",$A213)),TRUE,FALSE)</f>
        <v>0</v>
      </c>
      <c r="G213" s="3" t="b">
        <f t="shared" si="214"/>
        <v>0</v>
      </c>
      <c r="H213" s="2" t="s">
        <v>11</v>
      </c>
    </row>
    <row r="214" ht="15.75" customHeight="1">
      <c r="A214" s="2" t="s">
        <v>179</v>
      </c>
      <c r="B214" s="2" t="s">
        <v>179</v>
      </c>
      <c r="C214" s="3">
        <v>45601.78743055555</v>
      </c>
      <c r="D214" s="3" t="b">
        <f t="shared" si="2"/>
        <v>0</v>
      </c>
      <c r="E214" s="3" t="b">
        <f t="shared" si="3"/>
        <v>0</v>
      </c>
      <c r="F214" s="3" t="b">
        <f t="shared" ref="F214:G214" si="215">IF(ISNUMBER(SEARCH("Past Due",$A214)),TRUE,FALSE)</f>
        <v>0</v>
      </c>
      <c r="G214" s="3" t="b">
        <f t="shared" si="215"/>
        <v>0</v>
      </c>
      <c r="H214" s="2"/>
    </row>
    <row r="215" ht="15.75" customHeight="1">
      <c r="A215" s="2" t="s">
        <v>180</v>
      </c>
      <c r="B215" s="2" t="s">
        <v>180</v>
      </c>
      <c r="C215" s="2"/>
      <c r="D215" s="3" t="b">
        <f t="shared" si="2"/>
        <v>0</v>
      </c>
      <c r="E215" s="3" t="b">
        <f t="shared" si="3"/>
        <v>0</v>
      </c>
      <c r="F215" s="3" t="b">
        <f t="shared" ref="F215:G215" si="216">IF(ISNUMBER(SEARCH("Past Due",$A215)),TRUE,FALSE)</f>
        <v>0</v>
      </c>
      <c r="G215" s="3" t="b">
        <f t="shared" si="216"/>
        <v>0</v>
      </c>
      <c r="H215" s="2" t="s">
        <v>11</v>
      </c>
    </row>
    <row r="216" ht="15.75" customHeight="1">
      <c r="A216" s="2" t="s">
        <v>180</v>
      </c>
      <c r="B216" s="2" t="s">
        <v>180</v>
      </c>
      <c r="C216" s="2"/>
      <c r="D216" s="3" t="b">
        <f t="shared" si="2"/>
        <v>0</v>
      </c>
      <c r="E216" s="3" t="b">
        <f t="shared" si="3"/>
        <v>0</v>
      </c>
      <c r="F216" s="3" t="b">
        <f t="shared" ref="F216:G216" si="217">IF(ISNUMBER(SEARCH("Past Due",$A216)),TRUE,FALSE)</f>
        <v>0</v>
      </c>
      <c r="G216" s="3" t="b">
        <f t="shared" si="217"/>
        <v>0</v>
      </c>
      <c r="H216" s="2" t="s">
        <v>15</v>
      </c>
    </row>
    <row r="217" ht="15.75" customHeight="1">
      <c r="A217" s="2" t="s">
        <v>181</v>
      </c>
      <c r="B217" s="2" t="s">
        <v>181</v>
      </c>
      <c r="C217" s="3">
        <v>45509.76871527778</v>
      </c>
      <c r="D217" s="3" t="b">
        <f t="shared" si="2"/>
        <v>0</v>
      </c>
      <c r="E217" s="3" t="b">
        <f t="shared" si="3"/>
        <v>0</v>
      </c>
      <c r="F217" s="3" t="b">
        <f t="shared" ref="F217:G217" si="218">IF(ISNUMBER(SEARCH("Past Due",$A217)),TRUE,FALSE)</f>
        <v>0</v>
      </c>
      <c r="G217" s="3" t="b">
        <f t="shared" si="218"/>
        <v>0</v>
      </c>
      <c r="H217" s="2"/>
    </row>
    <row r="218" ht="15.75" customHeight="1">
      <c r="A218" s="2" t="s">
        <v>181</v>
      </c>
      <c r="B218" s="2" t="s">
        <v>181</v>
      </c>
      <c r="C218" s="3">
        <v>45570.83972222222</v>
      </c>
      <c r="D218" s="3" t="b">
        <f t="shared" si="2"/>
        <v>0</v>
      </c>
      <c r="E218" s="3" t="b">
        <f t="shared" si="3"/>
        <v>0</v>
      </c>
      <c r="F218" s="3" t="b">
        <f t="shared" ref="F218:G218" si="219">IF(ISNUMBER(SEARCH("Past Due",$A218)),TRUE,FALSE)</f>
        <v>0</v>
      </c>
      <c r="G218" s="3" t="b">
        <f t="shared" si="219"/>
        <v>0</v>
      </c>
      <c r="H218" s="2"/>
    </row>
    <row r="219" ht="15.75" customHeight="1">
      <c r="A219" s="2" t="s">
        <v>182</v>
      </c>
      <c r="B219" s="2" t="s">
        <v>182</v>
      </c>
      <c r="C219" s="3">
        <v>45601.80070601852</v>
      </c>
      <c r="D219" s="3" t="b">
        <f t="shared" si="2"/>
        <v>0</v>
      </c>
      <c r="E219" s="3" t="b">
        <f t="shared" si="3"/>
        <v>0</v>
      </c>
      <c r="F219" s="3" t="b">
        <f t="shared" ref="F219:G219" si="220">IF(ISNUMBER(SEARCH("Past Due",$A219)),TRUE,FALSE)</f>
        <v>1</v>
      </c>
      <c r="G219" s="3" t="b">
        <f t="shared" si="220"/>
        <v>1</v>
      </c>
      <c r="H219" s="2" t="s">
        <v>15</v>
      </c>
    </row>
    <row r="220" ht="15.75" customHeight="1">
      <c r="A220" s="2" t="s">
        <v>183</v>
      </c>
      <c r="B220" s="2" t="s">
        <v>183</v>
      </c>
      <c r="C220" s="2"/>
      <c r="D220" s="3" t="b">
        <f t="shared" si="2"/>
        <v>0</v>
      </c>
      <c r="E220" s="3" t="b">
        <f t="shared" si="3"/>
        <v>0</v>
      </c>
      <c r="F220" s="3" t="b">
        <f t="shared" ref="F220:G220" si="221">IF(ISNUMBER(SEARCH("Past Due",$A220)),TRUE,FALSE)</f>
        <v>0</v>
      </c>
      <c r="G220" s="3" t="b">
        <f t="shared" si="221"/>
        <v>0</v>
      </c>
      <c r="H220" s="2" t="s">
        <v>17</v>
      </c>
    </row>
    <row r="221" ht="15.75" customHeight="1">
      <c r="A221" s="2" t="s">
        <v>184</v>
      </c>
      <c r="B221" s="2" t="s">
        <v>184</v>
      </c>
      <c r="C221" s="3">
        <v>45601.78824074074</v>
      </c>
      <c r="D221" s="3" t="b">
        <f t="shared" si="2"/>
        <v>0</v>
      </c>
      <c r="E221" s="3" t="b">
        <f t="shared" si="3"/>
        <v>0</v>
      </c>
      <c r="F221" s="3" t="b">
        <f t="shared" ref="F221:G221" si="222">IF(ISNUMBER(SEARCH("Past Due",$A221)),TRUE,FALSE)</f>
        <v>0</v>
      </c>
      <c r="G221" s="3" t="b">
        <f t="shared" si="222"/>
        <v>0</v>
      </c>
      <c r="H221" s="2"/>
    </row>
    <row r="222" ht="15.75" customHeight="1">
      <c r="A222" s="2" t="s">
        <v>185</v>
      </c>
      <c r="B222" s="2" t="s">
        <v>185</v>
      </c>
      <c r="C222" s="2"/>
      <c r="D222" s="3" t="b">
        <f t="shared" si="2"/>
        <v>0</v>
      </c>
      <c r="E222" s="3" t="b">
        <f t="shared" si="3"/>
        <v>0</v>
      </c>
      <c r="F222" s="3" t="b">
        <f t="shared" ref="F222:G222" si="223">IF(ISNUMBER(SEARCH("Past Due",$A222)),TRUE,FALSE)</f>
        <v>0</v>
      </c>
      <c r="G222" s="3" t="b">
        <f t="shared" si="223"/>
        <v>0</v>
      </c>
      <c r="H222" s="2" t="s">
        <v>17</v>
      </c>
    </row>
    <row r="223" ht="15.75" customHeight="1">
      <c r="A223" s="2" t="s">
        <v>186</v>
      </c>
      <c r="B223" s="2" t="s">
        <v>186</v>
      </c>
      <c r="C223" s="3">
        <v>45448.77695601852</v>
      </c>
      <c r="D223" s="3" t="b">
        <f t="shared" si="2"/>
        <v>1</v>
      </c>
      <c r="E223" s="3" t="b">
        <f t="shared" si="3"/>
        <v>0</v>
      </c>
      <c r="F223" s="3" t="b">
        <f t="shared" ref="F223:G223" si="224">IF(ISNUMBER(SEARCH("Past Due",$A223)),TRUE,FALSE)</f>
        <v>0</v>
      </c>
      <c r="G223" s="3" t="b">
        <f t="shared" si="224"/>
        <v>0</v>
      </c>
      <c r="H223" s="2"/>
    </row>
    <row r="224" ht="15.75" customHeight="1">
      <c r="A224" s="2" t="s">
        <v>187</v>
      </c>
      <c r="B224" s="2" t="s">
        <v>187</v>
      </c>
      <c r="C224" s="2"/>
      <c r="D224" s="3" t="b">
        <f t="shared" si="2"/>
        <v>0</v>
      </c>
      <c r="E224" s="3" t="b">
        <f t="shared" si="3"/>
        <v>0</v>
      </c>
      <c r="F224" s="3" t="b">
        <f t="shared" ref="F224:G224" si="225">IF(ISNUMBER(SEARCH("Past Due",$A224)),TRUE,FALSE)</f>
        <v>0</v>
      </c>
      <c r="G224" s="3" t="b">
        <f t="shared" si="225"/>
        <v>0</v>
      </c>
      <c r="H224" s="2" t="s">
        <v>11</v>
      </c>
    </row>
    <row r="225" ht="15.75" customHeight="1">
      <c r="A225" s="2" t="s">
        <v>187</v>
      </c>
      <c r="B225" s="2" t="s">
        <v>187</v>
      </c>
      <c r="C225" s="2"/>
      <c r="D225" s="3" t="b">
        <f t="shared" si="2"/>
        <v>0</v>
      </c>
      <c r="E225" s="3" t="b">
        <f t="shared" si="3"/>
        <v>0</v>
      </c>
      <c r="F225" s="3" t="b">
        <f t="shared" ref="F225:G225" si="226">IF(ISNUMBER(SEARCH("Past Due",$A225)),TRUE,FALSE)</f>
        <v>0</v>
      </c>
      <c r="G225" s="3" t="b">
        <f t="shared" si="226"/>
        <v>0</v>
      </c>
      <c r="H225" s="2" t="s">
        <v>15</v>
      </c>
    </row>
    <row r="226" ht="15.75" customHeight="1">
      <c r="A226" s="2" t="s">
        <v>187</v>
      </c>
      <c r="B226" s="2" t="s">
        <v>187</v>
      </c>
      <c r="C226" s="2"/>
      <c r="D226" s="3" t="b">
        <f t="shared" si="2"/>
        <v>0</v>
      </c>
      <c r="E226" s="3" t="b">
        <f t="shared" si="3"/>
        <v>0</v>
      </c>
      <c r="F226" s="3" t="b">
        <f t="shared" ref="F226:G226" si="227">IF(ISNUMBER(SEARCH("Past Due",$A226)),TRUE,FALSE)</f>
        <v>0</v>
      </c>
      <c r="G226" s="3" t="b">
        <f t="shared" si="227"/>
        <v>0</v>
      </c>
      <c r="H226" s="2" t="s">
        <v>15</v>
      </c>
    </row>
    <row r="227" ht="15.75" customHeight="1">
      <c r="A227" s="2" t="s">
        <v>188</v>
      </c>
      <c r="B227" s="2" t="s">
        <v>188</v>
      </c>
      <c r="C227" s="3">
        <v>45509.762094907404</v>
      </c>
      <c r="D227" s="3" t="b">
        <f t="shared" si="2"/>
        <v>0</v>
      </c>
      <c r="E227" s="3" t="b">
        <f t="shared" si="3"/>
        <v>0</v>
      </c>
      <c r="F227" s="3" t="b">
        <f t="shared" ref="F227:G227" si="228">IF(ISNUMBER(SEARCH("Past Due",$A227)),TRUE,FALSE)</f>
        <v>0</v>
      </c>
      <c r="G227" s="3" t="b">
        <f t="shared" si="228"/>
        <v>0</v>
      </c>
      <c r="H227" s="2"/>
    </row>
    <row r="228" ht="15.75" customHeight="1">
      <c r="A228" s="2" t="s">
        <v>188</v>
      </c>
      <c r="B228" s="2" t="s">
        <v>188</v>
      </c>
      <c r="C228" s="3">
        <v>45570.84096064815</v>
      </c>
      <c r="D228" s="3" t="b">
        <f t="shared" si="2"/>
        <v>0</v>
      </c>
      <c r="E228" s="3" t="b">
        <f t="shared" si="3"/>
        <v>0</v>
      </c>
      <c r="F228" s="3" t="b">
        <f t="shared" ref="F228:G228" si="229">IF(ISNUMBER(SEARCH("Past Due",$A228)),TRUE,FALSE)</f>
        <v>0</v>
      </c>
      <c r="G228" s="3" t="b">
        <f t="shared" si="229"/>
        <v>0</v>
      </c>
      <c r="H228" s="2"/>
    </row>
    <row r="229" ht="15.75" customHeight="1">
      <c r="A229" s="2" t="s">
        <v>189</v>
      </c>
      <c r="B229" s="2" t="s">
        <v>189</v>
      </c>
      <c r="C229" s="3">
        <v>45601.80101851852</v>
      </c>
      <c r="D229" s="3" t="b">
        <f t="shared" si="2"/>
        <v>0</v>
      </c>
      <c r="E229" s="3" t="b">
        <f t="shared" si="3"/>
        <v>0</v>
      </c>
      <c r="F229" s="3" t="b">
        <f t="shared" ref="F229:G229" si="230">IF(ISNUMBER(SEARCH("Past Due",$A229)),TRUE,FALSE)</f>
        <v>1</v>
      </c>
      <c r="G229" s="3" t="b">
        <f t="shared" si="230"/>
        <v>1</v>
      </c>
      <c r="H229" s="2" t="s">
        <v>15</v>
      </c>
    </row>
    <row r="230" ht="15.75" customHeight="1">
      <c r="A230" s="2" t="s">
        <v>190</v>
      </c>
      <c r="B230" s="2" t="s">
        <v>190</v>
      </c>
      <c r="C230" s="2"/>
      <c r="D230" s="3" t="b">
        <f t="shared" si="2"/>
        <v>0</v>
      </c>
      <c r="E230" s="3" t="b">
        <f t="shared" si="3"/>
        <v>0</v>
      </c>
      <c r="F230" s="3" t="b">
        <f t="shared" ref="F230:G230" si="231">IF(ISNUMBER(SEARCH("Past Due",$A230)),TRUE,FALSE)</f>
        <v>0</v>
      </c>
      <c r="G230" s="3" t="b">
        <f t="shared" si="231"/>
        <v>0</v>
      </c>
      <c r="H230" s="2" t="s">
        <v>11</v>
      </c>
    </row>
    <row r="231" ht="15.75" customHeight="1">
      <c r="A231" s="2" t="s">
        <v>190</v>
      </c>
      <c r="B231" s="2" t="s">
        <v>190</v>
      </c>
      <c r="C231" s="2"/>
      <c r="D231" s="3" t="b">
        <f t="shared" si="2"/>
        <v>0</v>
      </c>
      <c r="E231" s="3" t="b">
        <f t="shared" si="3"/>
        <v>0</v>
      </c>
      <c r="F231" s="3" t="b">
        <f t="shared" ref="F231:G231" si="232">IF(ISNUMBER(SEARCH("Past Due",$A231)),TRUE,FALSE)</f>
        <v>0</v>
      </c>
      <c r="G231" s="3" t="b">
        <f t="shared" si="232"/>
        <v>0</v>
      </c>
      <c r="H231" s="2" t="s">
        <v>11</v>
      </c>
    </row>
    <row r="232" ht="15.75" customHeight="1">
      <c r="A232" s="2" t="s">
        <v>190</v>
      </c>
      <c r="B232" s="2" t="s">
        <v>190</v>
      </c>
      <c r="C232" s="2"/>
      <c r="D232" s="3" t="b">
        <f t="shared" si="2"/>
        <v>0</v>
      </c>
      <c r="E232" s="3" t="b">
        <f t="shared" si="3"/>
        <v>0</v>
      </c>
      <c r="F232" s="3" t="b">
        <f t="shared" ref="F232:G232" si="233">IF(ISNUMBER(SEARCH("Past Due",$A232)),TRUE,FALSE)</f>
        <v>0</v>
      </c>
      <c r="G232" s="3" t="b">
        <f t="shared" si="233"/>
        <v>0</v>
      </c>
      <c r="H232" s="2" t="s">
        <v>15</v>
      </c>
    </row>
    <row r="233" ht="15.75" customHeight="1">
      <c r="A233" s="2" t="s">
        <v>191</v>
      </c>
      <c r="B233" s="2" t="s">
        <v>191</v>
      </c>
      <c r="C233" s="2"/>
      <c r="D233" s="3" t="b">
        <f t="shared" si="2"/>
        <v>0</v>
      </c>
      <c r="E233" s="3" t="b">
        <f t="shared" si="3"/>
        <v>0</v>
      </c>
      <c r="F233" s="3" t="b">
        <f t="shared" ref="F233:G233" si="234">IF(ISNUMBER(SEARCH("Past Due",$A233)),TRUE,FALSE)</f>
        <v>0</v>
      </c>
      <c r="G233" s="3" t="b">
        <f t="shared" si="234"/>
        <v>0</v>
      </c>
      <c r="H233" s="2" t="s">
        <v>17</v>
      </c>
    </row>
    <row r="234" ht="15.75" customHeight="1">
      <c r="A234" s="2" t="s">
        <v>192</v>
      </c>
      <c r="B234" s="2" t="s">
        <v>192</v>
      </c>
      <c r="C234" s="3">
        <v>45417.0</v>
      </c>
      <c r="D234" s="3" t="b">
        <f t="shared" si="2"/>
        <v>0</v>
      </c>
      <c r="E234" s="3" t="b">
        <f t="shared" si="3"/>
        <v>0</v>
      </c>
      <c r="F234" s="3" t="b">
        <f t="shared" ref="F234:G234" si="235">IF(ISNUMBER(SEARCH("Past Due",$A234)),TRUE,FALSE)</f>
        <v>0</v>
      </c>
      <c r="G234" s="3" t="b">
        <f t="shared" si="235"/>
        <v>0</v>
      </c>
      <c r="H234" s="2"/>
    </row>
    <row r="235" ht="15.75" customHeight="1">
      <c r="A235" s="2" t="s">
        <v>192</v>
      </c>
      <c r="B235" s="2" t="s">
        <v>192</v>
      </c>
      <c r="C235" s="3">
        <v>45478.914502314816</v>
      </c>
      <c r="D235" s="3" t="b">
        <f t="shared" si="2"/>
        <v>0</v>
      </c>
      <c r="E235" s="3" t="b">
        <f t="shared" si="3"/>
        <v>0</v>
      </c>
      <c r="F235" s="3" t="b">
        <f t="shared" ref="F235:G235" si="236">IF(ISNUMBER(SEARCH("Past Due",$A235)),TRUE,FALSE)</f>
        <v>0</v>
      </c>
      <c r="G235" s="3" t="b">
        <f t="shared" si="236"/>
        <v>0</v>
      </c>
      <c r="H235" s="2"/>
    </row>
    <row r="236" ht="15.75" customHeight="1">
      <c r="A236" s="2" t="s">
        <v>193</v>
      </c>
      <c r="B236" s="2" t="s">
        <v>193</v>
      </c>
      <c r="C236" s="3">
        <v>45509.829872685186</v>
      </c>
      <c r="D236" s="3" t="b">
        <f t="shared" si="2"/>
        <v>0</v>
      </c>
      <c r="E236" s="3" t="b">
        <f t="shared" si="3"/>
        <v>0</v>
      </c>
      <c r="F236" s="3" t="b">
        <f t="shared" ref="F236:G236" si="237">IF(ISNUMBER(SEARCH("Past Due",$A236)),TRUE,FALSE)</f>
        <v>1</v>
      </c>
      <c r="G236" s="3" t="b">
        <f t="shared" si="237"/>
        <v>1</v>
      </c>
      <c r="H236" s="2" t="s">
        <v>15</v>
      </c>
    </row>
    <row r="237" ht="15.75" customHeight="1">
      <c r="A237" s="2" t="s">
        <v>194</v>
      </c>
      <c r="B237" s="2" t="s">
        <v>194</v>
      </c>
      <c r="C237" s="3">
        <v>45570.79452546296</v>
      </c>
      <c r="D237" s="3" t="b">
        <f t="shared" si="2"/>
        <v>0</v>
      </c>
      <c r="E237" s="3" t="b">
        <f t="shared" si="3"/>
        <v>1</v>
      </c>
      <c r="F237" s="3" t="b">
        <f t="shared" ref="F237:G237" si="238">IF(ISNUMBER(SEARCH("Past Due",$A237)),TRUE,FALSE)</f>
        <v>0</v>
      </c>
      <c r="G237" s="3" t="b">
        <f t="shared" si="238"/>
        <v>0</v>
      </c>
      <c r="H237" s="2"/>
    </row>
    <row r="238" ht="15.75" customHeight="1">
      <c r="A238" s="2" t="s">
        <v>195</v>
      </c>
      <c r="B238" s="2" t="s">
        <v>195</v>
      </c>
      <c r="C238" s="2"/>
      <c r="D238" s="3" t="b">
        <f t="shared" si="2"/>
        <v>0</v>
      </c>
      <c r="E238" s="3" t="b">
        <f t="shared" si="3"/>
        <v>0</v>
      </c>
      <c r="F238" s="3" t="b">
        <f t="shared" ref="F238:G238" si="239">IF(ISNUMBER(SEARCH("Past Due",$A238)),TRUE,FALSE)</f>
        <v>0</v>
      </c>
      <c r="G238" s="3" t="b">
        <f t="shared" si="239"/>
        <v>0</v>
      </c>
      <c r="H238" s="2" t="s">
        <v>11</v>
      </c>
    </row>
    <row r="239" ht="15.75" customHeight="1">
      <c r="A239" s="2" t="s">
        <v>195</v>
      </c>
      <c r="B239" s="2" t="s">
        <v>195</v>
      </c>
      <c r="C239" s="2"/>
      <c r="D239" s="3" t="b">
        <f t="shared" si="2"/>
        <v>0</v>
      </c>
      <c r="E239" s="3" t="b">
        <f t="shared" si="3"/>
        <v>0</v>
      </c>
      <c r="F239" s="3" t="b">
        <f t="shared" ref="F239:G239" si="240">IF(ISNUMBER(SEARCH("Past Due",$A239)),TRUE,FALSE)</f>
        <v>0</v>
      </c>
      <c r="G239" s="3" t="b">
        <f t="shared" si="240"/>
        <v>0</v>
      </c>
      <c r="H239" s="2" t="s">
        <v>11</v>
      </c>
    </row>
    <row r="240" ht="15.75" customHeight="1">
      <c r="A240" s="2" t="s">
        <v>196</v>
      </c>
      <c r="B240" s="2" t="s">
        <v>196</v>
      </c>
      <c r="C240" s="3">
        <v>45448.75201388889</v>
      </c>
      <c r="D240" s="3" t="b">
        <f t="shared" si="2"/>
        <v>0</v>
      </c>
      <c r="E240" s="3" t="b">
        <f t="shared" si="3"/>
        <v>0</v>
      </c>
      <c r="F240" s="3" t="b">
        <f t="shared" ref="F240:G240" si="241">IF(ISNUMBER(SEARCH("Past Due",$A240)),TRUE,FALSE)</f>
        <v>0</v>
      </c>
      <c r="G240" s="3" t="b">
        <f t="shared" si="241"/>
        <v>0</v>
      </c>
      <c r="H240" s="2"/>
    </row>
    <row r="241" ht="15.75" customHeight="1">
      <c r="A241" s="2" t="s">
        <v>196</v>
      </c>
      <c r="B241" s="2" t="s">
        <v>196</v>
      </c>
      <c r="C241" s="3">
        <v>45509.9359837963</v>
      </c>
      <c r="D241" s="3" t="b">
        <f t="shared" si="2"/>
        <v>0</v>
      </c>
      <c r="E241" s="3" t="b">
        <f t="shared" si="3"/>
        <v>0</v>
      </c>
      <c r="F241" s="3" t="b">
        <f t="shared" ref="F241:G241" si="242">IF(ISNUMBER(SEARCH("Past Due",$A241)),TRUE,FALSE)</f>
        <v>0</v>
      </c>
      <c r="G241" s="3" t="b">
        <f t="shared" si="242"/>
        <v>0</v>
      </c>
      <c r="H241" s="2"/>
    </row>
    <row r="242" ht="15.75" customHeight="1">
      <c r="A242" s="2" t="s">
        <v>197</v>
      </c>
      <c r="B242" s="2" t="s">
        <v>197</v>
      </c>
      <c r="C242" s="3">
        <v>45540.84134259259</v>
      </c>
      <c r="D242" s="3" t="b">
        <f t="shared" si="2"/>
        <v>0</v>
      </c>
      <c r="E242" s="3" t="b">
        <f t="shared" si="3"/>
        <v>0</v>
      </c>
      <c r="F242" s="3" t="b">
        <f t="shared" ref="F242:G242" si="243">IF(ISNUMBER(SEARCH("Past Due",$A242)),TRUE,FALSE)</f>
        <v>1</v>
      </c>
      <c r="G242" s="3" t="b">
        <f t="shared" si="243"/>
        <v>1</v>
      </c>
      <c r="H242" s="2" t="s">
        <v>15</v>
      </c>
    </row>
    <row r="243" ht="15.75" customHeight="1">
      <c r="A243" s="2" t="s">
        <v>198</v>
      </c>
      <c r="B243" s="2" t="s">
        <v>198</v>
      </c>
      <c r="C243" s="2"/>
      <c r="D243" s="3" t="b">
        <f t="shared" si="2"/>
        <v>0</v>
      </c>
      <c r="E243" s="3" t="b">
        <f t="shared" si="3"/>
        <v>0</v>
      </c>
      <c r="F243" s="3" t="b">
        <f t="shared" ref="F243:G243" si="244">IF(ISNUMBER(SEARCH("Past Due",$A243)),TRUE,FALSE)</f>
        <v>0</v>
      </c>
      <c r="G243" s="3" t="b">
        <f t="shared" si="244"/>
        <v>0</v>
      </c>
      <c r="H243" s="2"/>
    </row>
    <row r="244" ht="15.75" customHeight="1">
      <c r="A244" s="2" t="s">
        <v>199</v>
      </c>
      <c r="B244" s="2" t="s">
        <v>199</v>
      </c>
      <c r="C244" s="2"/>
      <c r="D244" s="3" t="b">
        <f t="shared" si="2"/>
        <v>0</v>
      </c>
      <c r="E244" s="3" t="b">
        <f t="shared" si="3"/>
        <v>0</v>
      </c>
      <c r="F244" s="3" t="b">
        <f t="shared" ref="F244:G244" si="245">IF(ISNUMBER(SEARCH("Past Due",$A244)),TRUE,FALSE)</f>
        <v>0</v>
      </c>
      <c r="G244" s="3" t="b">
        <f t="shared" si="245"/>
        <v>0</v>
      </c>
      <c r="H244" s="2"/>
    </row>
    <row r="245" ht="15.75" customHeight="1">
      <c r="A245" s="2" t="s">
        <v>200</v>
      </c>
      <c r="B245" s="2" t="s">
        <v>200</v>
      </c>
      <c r="C245" s="3">
        <v>45417.0</v>
      </c>
      <c r="D245" s="3" t="b">
        <f t="shared" si="2"/>
        <v>1</v>
      </c>
      <c r="E245" s="3" t="b">
        <f t="shared" si="3"/>
        <v>0</v>
      </c>
      <c r="F245" s="3" t="b">
        <f t="shared" ref="F245:G245" si="246">IF(ISNUMBER(SEARCH("Past Due",$A245)),TRUE,FALSE)</f>
        <v>0</v>
      </c>
      <c r="G245" s="3" t="b">
        <f t="shared" si="246"/>
        <v>0</v>
      </c>
      <c r="H245" s="2"/>
    </row>
    <row r="246" ht="15.75" customHeight="1">
      <c r="A246" s="2" t="s">
        <v>201</v>
      </c>
      <c r="B246" s="2" t="s">
        <v>201</v>
      </c>
      <c r="C246" s="2"/>
      <c r="D246" s="3" t="b">
        <f t="shared" si="2"/>
        <v>0</v>
      </c>
      <c r="E246" s="3" t="b">
        <f t="shared" si="3"/>
        <v>0</v>
      </c>
      <c r="F246" s="3" t="b">
        <f t="shared" ref="F246:G246" si="247">IF(ISNUMBER(SEARCH("Past Due",$A246)),TRUE,FALSE)</f>
        <v>0</v>
      </c>
      <c r="G246" s="3" t="b">
        <f t="shared" si="247"/>
        <v>0</v>
      </c>
      <c r="H246" s="2" t="s">
        <v>11</v>
      </c>
    </row>
    <row r="247" ht="15.75" customHeight="1">
      <c r="A247" s="2" t="s">
        <v>201</v>
      </c>
      <c r="B247" s="2" t="s">
        <v>201</v>
      </c>
      <c r="C247" s="2"/>
      <c r="D247" s="3" t="b">
        <f t="shared" si="2"/>
        <v>0</v>
      </c>
      <c r="E247" s="3" t="b">
        <f t="shared" si="3"/>
        <v>0</v>
      </c>
      <c r="F247" s="3" t="b">
        <f t="shared" ref="F247:G247" si="248">IF(ISNUMBER(SEARCH("Past Due",$A247)),TRUE,FALSE)</f>
        <v>0</v>
      </c>
      <c r="G247" s="3" t="b">
        <f t="shared" si="248"/>
        <v>0</v>
      </c>
      <c r="H247" s="2" t="s">
        <v>11</v>
      </c>
    </row>
    <row r="248" ht="15.75" customHeight="1">
      <c r="A248" s="2" t="s">
        <v>201</v>
      </c>
      <c r="B248" s="2" t="s">
        <v>201</v>
      </c>
      <c r="C248" s="2"/>
      <c r="D248" s="3" t="b">
        <f t="shared" si="2"/>
        <v>0</v>
      </c>
      <c r="E248" s="3" t="b">
        <f t="shared" si="3"/>
        <v>0</v>
      </c>
      <c r="F248" s="3" t="b">
        <f t="shared" ref="F248:G248" si="249">IF(ISNUMBER(SEARCH("Past Due",$A248)),TRUE,FALSE)</f>
        <v>0</v>
      </c>
      <c r="G248" s="3" t="b">
        <f t="shared" si="249"/>
        <v>0</v>
      </c>
      <c r="H248" s="2" t="s">
        <v>11</v>
      </c>
    </row>
    <row r="249" ht="15.75" customHeight="1">
      <c r="A249" s="2" t="s">
        <v>201</v>
      </c>
      <c r="B249" s="2" t="s">
        <v>201</v>
      </c>
      <c r="C249" s="2"/>
      <c r="D249" s="3" t="b">
        <f t="shared" si="2"/>
        <v>0</v>
      </c>
      <c r="E249" s="3" t="b">
        <f t="shared" si="3"/>
        <v>0</v>
      </c>
      <c r="F249" s="3" t="b">
        <f t="shared" ref="F249:G249" si="250">IF(ISNUMBER(SEARCH("Past Due",$A249)),TRUE,FALSE)</f>
        <v>0</v>
      </c>
      <c r="G249" s="3" t="b">
        <f t="shared" si="250"/>
        <v>0</v>
      </c>
      <c r="H249" s="2" t="s">
        <v>15</v>
      </c>
    </row>
    <row r="250" ht="15.75" customHeight="1">
      <c r="A250" s="2" t="s">
        <v>202</v>
      </c>
      <c r="B250" s="2" t="s">
        <v>202</v>
      </c>
      <c r="C250" s="3">
        <v>45417.0</v>
      </c>
      <c r="D250" s="3" t="b">
        <f t="shared" si="2"/>
        <v>0</v>
      </c>
      <c r="E250" s="3" t="b">
        <f t="shared" si="3"/>
        <v>0</v>
      </c>
      <c r="F250" s="3" t="b">
        <f t="shared" ref="F250:G250" si="251">IF(ISNUMBER(SEARCH("Past Due",$A250)),TRUE,FALSE)</f>
        <v>0</v>
      </c>
      <c r="G250" s="3" t="b">
        <f t="shared" si="251"/>
        <v>0</v>
      </c>
      <c r="H250" s="2"/>
    </row>
    <row r="251" ht="15.75" customHeight="1">
      <c r="A251" s="2" t="s">
        <v>202</v>
      </c>
      <c r="B251" s="2" t="s">
        <v>202</v>
      </c>
      <c r="C251" s="3">
        <v>45478.90862268519</v>
      </c>
      <c r="D251" s="3" t="b">
        <f t="shared" si="2"/>
        <v>0</v>
      </c>
      <c r="E251" s="3" t="b">
        <f t="shared" si="3"/>
        <v>0</v>
      </c>
      <c r="F251" s="3" t="b">
        <f t="shared" ref="F251:G251" si="252">IF(ISNUMBER(SEARCH("Past Due",$A251)),TRUE,FALSE)</f>
        <v>0</v>
      </c>
      <c r="G251" s="3" t="b">
        <f t="shared" si="252"/>
        <v>0</v>
      </c>
      <c r="H251" s="2"/>
    </row>
    <row r="252" ht="15.75" customHeight="1">
      <c r="A252" s="2" t="s">
        <v>203</v>
      </c>
      <c r="B252" s="2" t="s">
        <v>203</v>
      </c>
      <c r="C252" s="3">
        <v>45509.82575231481</v>
      </c>
      <c r="D252" s="3" t="b">
        <f t="shared" si="2"/>
        <v>0</v>
      </c>
      <c r="E252" s="3" t="b">
        <f t="shared" si="3"/>
        <v>0</v>
      </c>
      <c r="F252" s="3" t="b">
        <f t="shared" ref="F252:G252" si="253">IF(ISNUMBER(SEARCH("Past Due",$A252)),TRUE,FALSE)</f>
        <v>1</v>
      </c>
      <c r="G252" s="3" t="b">
        <f t="shared" si="253"/>
        <v>1</v>
      </c>
      <c r="H252" s="2" t="s">
        <v>15</v>
      </c>
    </row>
    <row r="253" ht="15.75" customHeight="1">
      <c r="A253" s="2" t="s">
        <v>204</v>
      </c>
      <c r="B253" s="2" t="s">
        <v>204</v>
      </c>
      <c r="C253" s="3">
        <v>45570.77746527778</v>
      </c>
      <c r="D253" s="3" t="b">
        <f t="shared" si="2"/>
        <v>0</v>
      </c>
      <c r="E253" s="3" t="b">
        <f t="shared" si="3"/>
        <v>1</v>
      </c>
      <c r="F253" s="3" t="b">
        <f t="shared" ref="F253:G253" si="254">IF(ISNUMBER(SEARCH("Past Due",$A253)),TRUE,FALSE)</f>
        <v>0</v>
      </c>
      <c r="G253" s="3" t="b">
        <f t="shared" si="254"/>
        <v>0</v>
      </c>
      <c r="H253" s="2"/>
    </row>
    <row r="254" ht="15.75" customHeight="1">
      <c r="A254" s="2" t="s">
        <v>205</v>
      </c>
      <c r="B254" s="2" t="s">
        <v>205</v>
      </c>
      <c r="C254" s="2"/>
      <c r="D254" s="3" t="b">
        <f t="shared" si="2"/>
        <v>0</v>
      </c>
      <c r="E254" s="3" t="b">
        <f t="shared" si="3"/>
        <v>0</v>
      </c>
      <c r="F254" s="3" t="b">
        <f t="shared" ref="F254:G254" si="255">IF(ISNUMBER(SEARCH("Past Due",$A254)),TRUE,FALSE)</f>
        <v>0</v>
      </c>
      <c r="G254" s="3" t="b">
        <f t="shared" si="255"/>
        <v>0</v>
      </c>
      <c r="H254" s="2" t="s">
        <v>11</v>
      </c>
    </row>
    <row r="255" ht="15.75" customHeight="1">
      <c r="A255" s="2" t="s">
        <v>205</v>
      </c>
      <c r="B255" s="2" t="s">
        <v>205</v>
      </c>
      <c r="C255" s="2"/>
      <c r="D255" s="3" t="b">
        <f t="shared" si="2"/>
        <v>0</v>
      </c>
      <c r="E255" s="3" t="b">
        <f t="shared" si="3"/>
        <v>0</v>
      </c>
      <c r="F255" s="3" t="b">
        <f t="shared" ref="F255:G255" si="256">IF(ISNUMBER(SEARCH("Past Due",$A255)),TRUE,FALSE)</f>
        <v>0</v>
      </c>
      <c r="G255" s="3" t="b">
        <f t="shared" si="256"/>
        <v>0</v>
      </c>
      <c r="H255" s="2" t="s">
        <v>11</v>
      </c>
    </row>
    <row r="256" ht="15.75" customHeight="1">
      <c r="A256" s="2" t="s">
        <v>205</v>
      </c>
      <c r="B256" s="2" t="s">
        <v>205</v>
      </c>
      <c r="C256" s="2"/>
      <c r="D256" s="3" t="b">
        <f t="shared" si="2"/>
        <v>0</v>
      </c>
      <c r="E256" s="3" t="b">
        <f t="shared" si="3"/>
        <v>0</v>
      </c>
      <c r="F256" s="3" t="b">
        <f t="shared" ref="F256:G256" si="257">IF(ISNUMBER(SEARCH("Past Due",$A256)),TRUE,FALSE)</f>
        <v>0</v>
      </c>
      <c r="G256" s="3" t="b">
        <f t="shared" si="257"/>
        <v>0</v>
      </c>
      <c r="H256" s="2" t="s">
        <v>15</v>
      </c>
    </row>
    <row r="257" ht="15.75" customHeight="1">
      <c r="A257" s="2" t="s">
        <v>206</v>
      </c>
      <c r="B257" s="2" t="s">
        <v>206</v>
      </c>
      <c r="C257" s="2"/>
      <c r="D257" s="3" t="b">
        <f t="shared" si="2"/>
        <v>0</v>
      </c>
      <c r="E257" s="3" t="b">
        <f t="shared" si="3"/>
        <v>0</v>
      </c>
      <c r="F257" s="3" t="b">
        <f t="shared" ref="F257:G257" si="258">IF(ISNUMBER(SEARCH("Past Due",$A257)),TRUE,FALSE)</f>
        <v>0</v>
      </c>
      <c r="G257" s="3" t="b">
        <f t="shared" si="258"/>
        <v>0</v>
      </c>
      <c r="H257" s="2" t="s">
        <v>17</v>
      </c>
    </row>
    <row r="258" ht="15.75" customHeight="1">
      <c r="A258" s="2" t="s">
        <v>207</v>
      </c>
      <c r="B258" s="2" t="s">
        <v>207</v>
      </c>
      <c r="C258" s="3">
        <v>45417.0</v>
      </c>
      <c r="D258" s="3" t="b">
        <f t="shared" si="2"/>
        <v>0</v>
      </c>
      <c r="E258" s="3" t="b">
        <f t="shared" si="3"/>
        <v>0</v>
      </c>
      <c r="F258" s="3" t="b">
        <f t="shared" ref="F258:G258" si="259">IF(ISNUMBER(SEARCH("Past Due",$A258)),TRUE,FALSE)</f>
        <v>0</v>
      </c>
      <c r="G258" s="3" t="b">
        <f t="shared" si="259"/>
        <v>0</v>
      </c>
      <c r="H258" s="2"/>
    </row>
    <row r="259" ht="15.75" customHeight="1">
      <c r="A259" s="2" t="s">
        <v>207</v>
      </c>
      <c r="B259" s="2" t="s">
        <v>207</v>
      </c>
      <c r="C259" s="3">
        <v>45478.93326388889</v>
      </c>
      <c r="D259" s="3" t="b">
        <f t="shared" si="2"/>
        <v>0</v>
      </c>
      <c r="E259" s="3" t="b">
        <f t="shared" si="3"/>
        <v>0</v>
      </c>
      <c r="F259" s="3" t="b">
        <f t="shared" ref="F259:G259" si="260">IF(ISNUMBER(SEARCH("Past Due",$A259)),TRUE,FALSE)</f>
        <v>0</v>
      </c>
      <c r="G259" s="3" t="b">
        <f t="shared" si="260"/>
        <v>0</v>
      </c>
      <c r="H259" s="2"/>
    </row>
    <row r="260" ht="15.75" customHeight="1">
      <c r="A260" s="2" t="s">
        <v>208</v>
      </c>
      <c r="B260" s="2" t="s">
        <v>208</v>
      </c>
      <c r="C260" s="3">
        <v>45509.84359953704</v>
      </c>
      <c r="D260" s="3" t="b">
        <f t="shared" si="2"/>
        <v>0</v>
      </c>
      <c r="E260" s="3" t="b">
        <f t="shared" si="3"/>
        <v>0</v>
      </c>
      <c r="F260" s="3" t="b">
        <f t="shared" ref="F260:G260" si="261">IF(ISNUMBER(SEARCH("Past Due",$A260)),TRUE,FALSE)</f>
        <v>1</v>
      </c>
      <c r="G260" s="3" t="b">
        <f t="shared" si="261"/>
        <v>1</v>
      </c>
      <c r="H260" s="2" t="s">
        <v>15</v>
      </c>
    </row>
    <row r="261" ht="15.75" customHeight="1">
      <c r="A261" s="2" t="s">
        <v>209</v>
      </c>
      <c r="B261" s="2" t="s">
        <v>209</v>
      </c>
      <c r="C261" s="3">
        <v>45570.782743055555</v>
      </c>
      <c r="D261" s="3" t="b">
        <f t="shared" si="2"/>
        <v>0</v>
      </c>
      <c r="E261" s="3" t="b">
        <f t="shared" si="3"/>
        <v>1</v>
      </c>
      <c r="F261" s="3" t="b">
        <f t="shared" ref="F261:G261" si="262">IF(ISNUMBER(SEARCH("Past Due",$A261)),TRUE,FALSE)</f>
        <v>0</v>
      </c>
      <c r="G261" s="3" t="b">
        <f t="shared" si="262"/>
        <v>0</v>
      </c>
      <c r="H261" s="2"/>
    </row>
    <row r="262" ht="15.75" customHeight="1">
      <c r="A262" s="2" t="s">
        <v>210</v>
      </c>
      <c r="B262" s="2" t="s">
        <v>210</v>
      </c>
      <c r="C262" s="2"/>
      <c r="D262" s="3" t="b">
        <f t="shared" si="2"/>
        <v>0</v>
      </c>
      <c r="E262" s="3" t="b">
        <f t="shared" si="3"/>
        <v>0</v>
      </c>
      <c r="F262" s="3" t="b">
        <f t="shared" ref="F262:G262" si="263">IF(ISNUMBER(SEARCH("Past Due",$A262)),TRUE,FALSE)</f>
        <v>0</v>
      </c>
      <c r="G262" s="3" t="b">
        <f t="shared" si="263"/>
        <v>0</v>
      </c>
      <c r="H262" s="2" t="s">
        <v>11</v>
      </c>
    </row>
    <row r="263" ht="15.75" customHeight="1">
      <c r="A263" s="2" t="s">
        <v>210</v>
      </c>
      <c r="B263" s="2" t="s">
        <v>210</v>
      </c>
      <c r="C263" s="2"/>
      <c r="D263" s="3" t="b">
        <f t="shared" si="2"/>
        <v>0</v>
      </c>
      <c r="E263" s="3" t="b">
        <f t="shared" si="3"/>
        <v>0</v>
      </c>
      <c r="F263" s="3" t="b">
        <f t="shared" ref="F263:G263" si="264">IF(ISNUMBER(SEARCH("Past Due",$A263)),TRUE,FALSE)</f>
        <v>0</v>
      </c>
      <c r="G263" s="3" t="b">
        <f t="shared" si="264"/>
        <v>0</v>
      </c>
      <c r="H263" s="2" t="s">
        <v>11</v>
      </c>
    </row>
    <row r="264" ht="15.75" customHeight="1">
      <c r="A264" s="2" t="s">
        <v>210</v>
      </c>
      <c r="B264" s="2" t="s">
        <v>210</v>
      </c>
      <c r="C264" s="2"/>
      <c r="D264" s="3" t="b">
        <f t="shared" si="2"/>
        <v>0</v>
      </c>
      <c r="E264" s="3" t="b">
        <f t="shared" si="3"/>
        <v>0</v>
      </c>
      <c r="F264" s="3" t="b">
        <f t="shared" ref="F264:G264" si="265">IF(ISNUMBER(SEARCH("Past Due",$A264)),TRUE,FALSE)</f>
        <v>0</v>
      </c>
      <c r="G264" s="3" t="b">
        <f t="shared" si="265"/>
        <v>0</v>
      </c>
      <c r="H264" s="2" t="s">
        <v>15</v>
      </c>
    </row>
    <row r="265" ht="15.75" customHeight="1">
      <c r="A265" s="2" t="s">
        <v>211</v>
      </c>
      <c r="B265" s="2" t="s">
        <v>211</v>
      </c>
      <c r="C265" s="3">
        <v>45509.77417824074</v>
      </c>
      <c r="D265" s="3" t="b">
        <f t="shared" si="2"/>
        <v>0</v>
      </c>
      <c r="E265" s="3" t="b">
        <f t="shared" si="3"/>
        <v>0</v>
      </c>
      <c r="F265" s="3" t="b">
        <f t="shared" ref="F265:G265" si="266">IF(ISNUMBER(SEARCH("Past Due",$A265)),TRUE,FALSE)</f>
        <v>0</v>
      </c>
      <c r="G265" s="3" t="b">
        <f t="shared" si="266"/>
        <v>0</v>
      </c>
      <c r="H265" s="2"/>
    </row>
    <row r="266" ht="15.75" customHeight="1">
      <c r="A266" s="2" t="s">
        <v>211</v>
      </c>
      <c r="B266" s="2" t="s">
        <v>211</v>
      </c>
      <c r="C266" s="3">
        <v>45570.91244212963</v>
      </c>
      <c r="D266" s="3" t="b">
        <f t="shared" si="2"/>
        <v>0</v>
      </c>
      <c r="E266" s="3" t="b">
        <f t="shared" si="3"/>
        <v>0</v>
      </c>
      <c r="F266" s="3" t="b">
        <f t="shared" ref="F266:G266" si="267">IF(ISNUMBER(SEARCH("Past Due",$A266)),TRUE,FALSE)</f>
        <v>0</v>
      </c>
      <c r="G266" s="3" t="b">
        <f t="shared" si="267"/>
        <v>0</v>
      </c>
      <c r="H266" s="2"/>
    </row>
    <row r="267" ht="15.75" customHeight="1">
      <c r="A267" s="2" t="s">
        <v>212</v>
      </c>
      <c r="B267" s="2" t="s">
        <v>212</v>
      </c>
      <c r="C267" s="3">
        <v>45601.82797453704</v>
      </c>
      <c r="D267" s="3" t="b">
        <f t="shared" si="2"/>
        <v>0</v>
      </c>
      <c r="E267" s="3" t="b">
        <f t="shared" si="3"/>
        <v>0</v>
      </c>
      <c r="F267" s="3" t="b">
        <f t="shared" ref="F267:G267" si="268">IF(ISNUMBER(SEARCH("Past Due",$A267)),TRUE,FALSE)</f>
        <v>1</v>
      </c>
      <c r="G267" s="3" t="b">
        <f t="shared" si="268"/>
        <v>1</v>
      </c>
      <c r="H267" s="2" t="s">
        <v>15</v>
      </c>
    </row>
    <row r="268" ht="15.75" customHeight="1">
      <c r="A268" s="2" t="s">
        <v>213</v>
      </c>
      <c r="B268" s="2" t="s">
        <v>213</v>
      </c>
      <c r="C268" s="2"/>
      <c r="D268" s="3" t="b">
        <f t="shared" si="2"/>
        <v>0</v>
      </c>
      <c r="E268" s="3" t="b">
        <f t="shared" si="3"/>
        <v>0</v>
      </c>
      <c r="F268" s="3" t="b">
        <f t="shared" ref="F268:G268" si="269">IF(ISNUMBER(SEARCH("Past Due",$A268)),TRUE,FALSE)</f>
        <v>0</v>
      </c>
      <c r="G268" s="3" t="b">
        <f t="shared" si="269"/>
        <v>0</v>
      </c>
      <c r="H268" s="2" t="s">
        <v>17</v>
      </c>
    </row>
    <row r="269" ht="15.75" customHeight="1">
      <c r="A269" s="2" t="s">
        <v>214</v>
      </c>
      <c r="B269" s="2" t="s">
        <v>214</v>
      </c>
      <c r="C269" s="3">
        <v>45448.771053240744</v>
      </c>
      <c r="D269" s="3" t="b">
        <f t="shared" si="2"/>
        <v>1</v>
      </c>
      <c r="E269" s="3" t="b">
        <f t="shared" si="3"/>
        <v>0</v>
      </c>
      <c r="F269" s="3" t="b">
        <f t="shared" ref="F269:G269" si="270">IF(ISNUMBER(SEARCH("Past Due",$A269)),TRUE,FALSE)</f>
        <v>0</v>
      </c>
      <c r="G269" s="3" t="b">
        <f t="shared" si="270"/>
        <v>0</v>
      </c>
      <c r="H269" s="2"/>
    </row>
    <row r="270" ht="15.75" customHeight="1">
      <c r="A270" s="2" t="s">
        <v>215</v>
      </c>
      <c r="B270" s="2" t="s">
        <v>215</v>
      </c>
      <c r="C270" s="2"/>
      <c r="D270" s="3" t="b">
        <f t="shared" si="2"/>
        <v>0</v>
      </c>
      <c r="E270" s="3" t="b">
        <f t="shared" si="3"/>
        <v>0</v>
      </c>
      <c r="F270" s="3" t="b">
        <f t="shared" ref="F270:G270" si="271">IF(ISNUMBER(SEARCH("Past Due",$A270)),TRUE,FALSE)</f>
        <v>0</v>
      </c>
      <c r="G270" s="3" t="b">
        <f t="shared" si="271"/>
        <v>0</v>
      </c>
      <c r="H270" s="2" t="s">
        <v>17</v>
      </c>
    </row>
    <row r="271" ht="15.75" customHeight="1">
      <c r="A271" s="2" t="s">
        <v>216</v>
      </c>
      <c r="B271" s="2" t="s">
        <v>216</v>
      </c>
      <c r="C271" s="3">
        <v>45540.79423611111</v>
      </c>
      <c r="D271" s="3" t="b">
        <f t="shared" si="2"/>
        <v>1</v>
      </c>
      <c r="E271" s="3" t="b">
        <f t="shared" si="3"/>
        <v>0</v>
      </c>
      <c r="F271" s="3" t="b">
        <f t="shared" ref="F271:G271" si="272">IF(ISNUMBER(SEARCH("Past Due",$A271)),TRUE,FALSE)</f>
        <v>0</v>
      </c>
      <c r="G271" s="3" t="b">
        <f t="shared" si="272"/>
        <v>0</v>
      </c>
      <c r="H271" s="2"/>
    </row>
    <row r="272" ht="15.75" customHeight="1">
      <c r="A272" s="2" t="s">
        <v>217</v>
      </c>
      <c r="B272" s="2" t="s">
        <v>217</v>
      </c>
      <c r="C272" s="3">
        <v>45448.81148148148</v>
      </c>
      <c r="D272" s="3" t="b">
        <f t="shared" si="2"/>
        <v>0</v>
      </c>
      <c r="E272" s="3" t="b">
        <f t="shared" si="3"/>
        <v>1</v>
      </c>
      <c r="F272" s="3" t="b">
        <f t="shared" ref="F272:G272" si="273">IF(ISNUMBER(SEARCH("Past Due",$A272)),TRUE,FALSE)</f>
        <v>0</v>
      </c>
      <c r="G272" s="3" t="b">
        <f t="shared" si="273"/>
        <v>0</v>
      </c>
      <c r="H272" s="2"/>
    </row>
    <row r="273" ht="15.75" customHeight="1">
      <c r="A273" s="2" t="s">
        <v>218</v>
      </c>
      <c r="B273" s="2" t="s">
        <v>218</v>
      </c>
      <c r="C273" s="2"/>
      <c r="D273" s="3" t="b">
        <f t="shared" si="2"/>
        <v>0</v>
      </c>
      <c r="E273" s="3" t="b">
        <f t="shared" si="3"/>
        <v>0</v>
      </c>
      <c r="F273" s="3" t="b">
        <f t="shared" ref="F273:G273" si="274">IF(ISNUMBER(SEARCH("Past Due",$A273)),TRUE,FALSE)</f>
        <v>0</v>
      </c>
      <c r="G273" s="3" t="b">
        <f t="shared" si="274"/>
        <v>0</v>
      </c>
      <c r="H273" s="2" t="s">
        <v>11</v>
      </c>
    </row>
    <row r="274" ht="15.75" customHeight="1">
      <c r="A274" s="2" t="s">
        <v>218</v>
      </c>
      <c r="B274" s="2" t="s">
        <v>218</v>
      </c>
      <c r="C274" s="2"/>
      <c r="D274" s="3" t="b">
        <f t="shared" si="2"/>
        <v>0</v>
      </c>
      <c r="E274" s="3" t="b">
        <f t="shared" si="3"/>
        <v>0</v>
      </c>
      <c r="F274" s="3" t="b">
        <f t="shared" ref="F274:G274" si="275">IF(ISNUMBER(SEARCH("Past Due",$A274)),TRUE,FALSE)</f>
        <v>0</v>
      </c>
      <c r="G274" s="3" t="b">
        <f t="shared" si="275"/>
        <v>0</v>
      </c>
      <c r="H274" s="2" t="s">
        <v>11</v>
      </c>
    </row>
    <row r="275" ht="15.75" customHeight="1">
      <c r="A275" s="2" t="s">
        <v>219</v>
      </c>
      <c r="B275" s="2" t="s">
        <v>219</v>
      </c>
      <c r="C275" s="3">
        <v>45448.7505787037</v>
      </c>
      <c r="D275" s="3" t="b">
        <f t="shared" si="2"/>
        <v>0</v>
      </c>
      <c r="E275" s="3" t="b">
        <f t="shared" si="3"/>
        <v>0</v>
      </c>
      <c r="F275" s="3" t="b">
        <f t="shared" ref="F275:G275" si="276">IF(ISNUMBER(SEARCH("Past Due",$A275)),TRUE,FALSE)</f>
        <v>0</v>
      </c>
      <c r="G275" s="3" t="b">
        <f t="shared" si="276"/>
        <v>0</v>
      </c>
      <c r="H275" s="2"/>
    </row>
    <row r="276" ht="15.75" customHeight="1">
      <c r="A276" s="2" t="s">
        <v>219</v>
      </c>
      <c r="B276" s="2" t="s">
        <v>219</v>
      </c>
      <c r="C276" s="3">
        <v>45509.93194444444</v>
      </c>
      <c r="D276" s="3" t="b">
        <f t="shared" si="2"/>
        <v>0</v>
      </c>
      <c r="E276" s="3" t="b">
        <f t="shared" si="3"/>
        <v>0</v>
      </c>
      <c r="F276" s="3" t="b">
        <f t="shared" ref="F276:G276" si="277">IF(ISNUMBER(SEARCH("Past Due",$A276)),TRUE,FALSE)</f>
        <v>0</v>
      </c>
      <c r="G276" s="3" t="b">
        <f t="shared" si="277"/>
        <v>0</v>
      </c>
      <c r="H276" s="2"/>
    </row>
    <row r="277" ht="15.75" customHeight="1">
      <c r="A277" s="2" t="s">
        <v>220</v>
      </c>
      <c r="B277" s="2" t="s">
        <v>220</v>
      </c>
      <c r="C277" s="2"/>
      <c r="D277" s="3" t="b">
        <f t="shared" si="2"/>
        <v>0</v>
      </c>
      <c r="E277" s="3" t="b">
        <f t="shared" si="3"/>
        <v>0</v>
      </c>
      <c r="F277" s="3" t="b">
        <f t="shared" ref="F277:G277" si="278">IF(ISNUMBER(SEARCH("Past Due",$A277)),TRUE,FALSE)</f>
        <v>0</v>
      </c>
      <c r="G277" s="3" t="b">
        <f t="shared" si="278"/>
        <v>0</v>
      </c>
      <c r="H277" s="2" t="s">
        <v>11</v>
      </c>
    </row>
    <row r="278" ht="15.75" customHeight="1">
      <c r="A278" s="2" t="s">
        <v>221</v>
      </c>
      <c r="B278" s="2" t="s">
        <v>221</v>
      </c>
      <c r="C278" s="3">
        <v>45417.0</v>
      </c>
      <c r="D278" s="3" t="b">
        <f t="shared" si="2"/>
        <v>1</v>
      </c>
      <c r="E278" s="3" t="b">
        <f t="shared" si="3"/>
        <v>0</v>
      </c>
      <c r="F278" s="3" t="b">
        <f t="shared" ref="F278:G278" si="279">IF(ISNUMBER(SEARCH("Past Due",$A278)),TRUE,FALSE)</f>
        <v>0</v>
      </c>
      <c r="G278" s="3" t="b">
        <f t="shared" si="279"/>
        <v>0</v>
      </c>
      <c r="H278" s="2"/>
    </row>
    <row r="279" ht="15.75" customHeight="1">
      <c r="A279" s="2" t="s">
        <v>222</v>
      </c>
      <c r="B279" s="2" t="s">
        <v>222</v>
      </c>
      <c r="C279" s="2"/>
      <c r="D279" s="3" t="b">
        <f t="shared" si="2"/>
        <v>0</v>
      </c>
      <c r="E279" s="3" t="b">
        <f t="shared" si="3"/>
        <v>0</v>
      </c>
      <c r="F279" s="3" t="b">
        <f t="shared" ref="F279:G279" si="280">IF(ISNUMBER(SEARCH("Past Due",$A279)),TRUE,FALSE)</f>
        <v>0</v>
      </c>
      <c r="G279" s="3" t="b">
        <f t="shared" si="280"/>
        <v>0</v>
      </c>
      <c r="H279" s="2" t="s">
        <v>11</v>
      </c>
    </row>
    <row r="280" ht="15.75" customHeight="1">
      <c r="A280" s="2" t="s">
        <v>222</v>
      </c>
      <c r="B280" s="2" t="s">
        <v>222</v>
      </c>
      <c r="C280" s="2"/>
      <c r="D280" s="3" t="b">
        <f t="shared" si="2"/>
        <v>0</v>
      </c>
      <c r="E280" s="3" t="b">
        <f t="shared" si="3"/>
        <v>0</v>
      </c>
      <c r="F280" s="3" t="b">
        <f t="shared" ref="F280:G280" si="281">IF(ISNUMBER(SEARCH("Past Due",$A280)),TRUE,FALSE)</f>
        <v>0</v>
      </c>
      <c r="G280" s="3" t="b">
        <f t="shared" si="281"/>
        <v>0</v>
      </c>
      <c r="H280" s="2" t="s">
        <v>15</v>
      </c>
    </row>
    <row r="281" ht="15.75" customHeight="1">
      <c r="A281" s="2" t="s">
        <v>223</v>
      </c>
      <c r="B281" s="2" t="s">
        <v>223</v>
      </c>
      <c r="C281" s="2"/>
      <c r="D281" s="3" t="b">
        <f t="shared" si="2"/>
        <v>0</v>
      </c>
      <c r="E281" s="3" t="b">
        <f t="shared" si="3"/>
        <v>0</v>
      </c>
      <c r="F281" s="3" t="b">
        <f t="shared" ref="F281:G281" si="282">IF(ISNUMBER(SEARCH("Past Due",$A281)),TRUE,FALSE)</f>
        <v>0</v>
      </c>
      <c r="G281" s="3" t="b">
        <f t="shared" si="282"/>
        <v>0</v>
      </c>
      <c r="H281" s="2" t="s">
        <v>17</v>
      </c>
    </row>
    <row r="282" ht="15.75" customHeight="1">
      <c r="A282" s="2" t="s">
        <v>224</v>
      </c>
      <c r="B282" s="2" t="s">
        <v>224</v>
      </c>
      <c r="C282" s="3">
        <v>45417.0</v>
      </c>
      <c r="D282" s="3" t="b">
        <f t="shared" si="2"/>
        <v>0</v>
      </c>
      <c r="E282" s="3" t="b">
        <f t="shared" si="3"/>
        <v>0</v>
      </c>
      <c r="F282" s="3" t="b">
        <f t="shared" ref="F282:G282" si="283">IF(ISNUMBER(SEARCH("Past Due",$A282)),TRUE,FALSE)</f>
        <v>0</v>
      </c>
      <c r="G282" s="3" t="b">
        <f t="shared" si="283"/>
        <v>0</v>
      </c>
      <c r="H282" s="2"/>
    </row>
    <row r="283" ht="15.75" customHeight="1">
      <c r="A283" s="2" t="s">
        <v>224</v>
      </c>
      <c r="B283" s="2" t="s">
        <v>224</v>
      </c>
      <c r="C283" s="3">
        <v>45478.952372685184</v>
      </c>
      <c r="D283" s="3" t="b">
        <f t="shared" si="2"/>
        <v>0</v>
      </c>
      <c r="E283" s="3" t="b">
        <f t="shared" si="3"/>
        <v>0</v>
      </c>
      <c r="F283" s="3" t="b">
        <f t="shared" ref="F283:G283" si="284">IF(ISNUMBER(SEARCH("Past Due",$A283)),TRUE,FALSE)</f>
        <v>0</v>
      </c>
      <c r="G283" s="3" t="b">
        <f t="shared" si="284"/>
        <v>0</v>
      </c>
      <c r="H283" s="2"/>
    </row>
    <row r="284" ht="15.75" customHeight="1">
      <c r="A284" s="2" t="s">
        <v>225</v>
      </c>
      <c r="B284" s="2" t="s">
        <v>225</v>
      </c>
      <c r="C284" s="3">
        <v>45509.85616898148</v>
      </c>
      <c r="D284" s="3" t="b">
        <f t="shared" si="2"/>
        <v>0</v>
      </c>
      <c r="E284" s="3" t="b">
        <f t="shared" si="3"/>
        <v>0</v>
      </c>
      <c r="F284" s="3" t="b">
        <f t="shared" ref="F284:G284" si="285">IF(ISNUMBER(SEARCH("Past Due",$A284)),TRUE,FALSE)</f>
        <v>1</v>
      </c>
      <c r="G284" s="3" t="b">
        <f t="shared" si="285"/>
        <v>1</v>
      </c>
      <c r="H284" s="2" t="s">
        <v>15</v>
      </c>
    </row>
    <row r="285" ht="15.75" customHeight="1">
      <c r="A285" s="2" t="s">
        <v>226</v>
      </c>
      <c r="B285" s="2" t="s">
        <v>226</v>
      </c>
      <c r="C285" s="3">
        <v>45570.80207175926</v>
      </c>
      <c r="D285" s="3" t="b">
        <f t="shared" si="2"/>
        <v>0</v>
      </c>
      <c r="E285" s="3" t="b">
        <f t="shared" si="3"/>
        <v>1</v>
      </c>
      <c r="F285" s="3" t="b">
        <f t="shared" ref="F285:G285" si="286">IF(ISNUMBER(SEARCH("Past Due",$A285)),TRUE,FALSE)</f>
        <v>0</v>
      </c>
      <c r="G285" s="3" t="b">
        <f t="shared" si="286"/>
        <v>0</v>
      </c>
      <c r="H285" s="2"/>
    </row>
    <row r="286" ht="15.75" customHeight="1">
      <c r="A286" s="2" t="s">
        <v>227</v>
      </c>
      <c r="B286" s="2" t="s">
        <v>227</v>
      </c>
      <c r="C286" s="2"/>
      <c r="D286" s="3" t="b">
        <f t="shared" si="2"/>
        <v>0</v>
      </c>
      <c r="E286" s="3" t="b">
        <f t="shared" si="3"/>
        <v>0</v>
      </c>
      <c r="F286" s="3" t="b">
        <f t="shared" ref="F286:G286" si="287">IF(ISNUMBER(SEARCH("Past Due",$A286)),TRUE,FALSE)</f>
        <v>0</v>
      </c>
      <c r="G286" s="3" t="b">
        <f t="shared" si="287"/>
        <v>0</v>
      </c>
      <c r="H286" s="2" t="s">
        <v>11</v>
      </c>
    </row>
    <row r="287" ht="15.75" customHeight="1">
      <c r="A287" s="2" t="s">
        <v>228</v>
      </c>
      <c r="B287" s="2" t="s">
        <v>228</v>
      </c>
      <c r="C287" s="3">
        <v>45478.77585648148</v>
      </c>
      <c r="D287" s="3" t="b">
        <f t="shared" si="2"/>
        <v>0</v>
      </c>
      <c r="E287" s="3" t="b">
        <f t="shared" si="3"/>
        <v>0</v>
      </c>
      <c r="F287" s="3" t="b">
        <f t="shared" ref="F287:G287" si="288">IF(ISNUMBER(SEARCH("Past Due",$A287)),TRUE,FALSE)</f>
        <v>0</v>
      </c>
      <c r="G287" s="3" t="b">
        <f t="shared" si="288"/>
        <v>0</v>
      </c>
      <c r="H287" s="2"/>
    </row>
    <row r="288" ht="15.75" customHeight="1">
      <c r="A288" s="2" t="s">
        <v>229</v>
      </c>
      <c r="B288" s="2" t="s">
        <v>229</v>
      </c>
      <c r="C288" s="2"/>
      <c r="D288" s="3" t="b">
        <f t="shared" si="2"/>
        <v>0</v>
      </c>
      <c r="E288" s="3" t="b">
        <f t="shared" si="3"/>
        <v>0</v>
      </c>
      <c r="F288" s="3" t="b">
        <f t="shared" ref="F288:G288" si="289">IF(ISNUMBER(SEARCH("Past Due",$A288)),TRUE,FALSE)</f>
        <v>0</v>
      </c>
      <c r="G288" s="3" t="b">
        <f t="shared" si="289"/>
        <v>0</v>
      </c>
      <c r="H288" s="2" t="s">
        <v>11</v>
      </c>
    </row>
    <row r="289" ht="15.75" customHeight="1">
      <c r="A289" s="2" t="s">
        <v>229</v>
      </c>
      <c r="B289" s="2" t="s">
        <v>229</v>
      </c>
      <c r="C289" s="2"/>
      <c r="D289" s="3" t="b">
        <f t="shared" si="2"/>
        <v>0</v>
      </c>
      <c r="E289" s="3" t="b">
        <f t="shared" si="3"/>
        <v>0</v>
      </c>
      <c r="F289" s="3" t="b">
        <f t="shared" ref="F289:G289" si="290">IF(ISNUMBER(SEARCH("Past Due",$A289)),TRUE,FALSE)</f>
        <v>0</v>
      </c>
      <c r="G289" s="3" t="b">
        <f t="shared" si="290"/>
        <v>0</v>
      </c>
      <c r="H289" s="2" t="s">
        <v>11</v>
      </c>
    </row>
    <row r="290" ht="15.75" customHeight="1">
      <c r="A290" s="2" t="s">
        <v>230</v>
      </c>
      <c r="B290" s="2" t="s">
        <v>230</v>
      </c>
      <c r="C290" s="3">
        <v>45540.77113425926</v>
      </c>
      <c r="D290" s="3" t="b">
        <f t="shared" si="2"/>
        <v>0</v>
      </c>
      <c r="E290" s="3" t="b">
        <f t="shared" si="3"/>
        <v>0</v>
      </c>
      <c r="F290" s="3" t="b">
        <f t="shared" ref="F290:G290" si="291">IF(ISNUMBER(SEARCH("Past Due",$A290)),TRUE,FALSE)</f>
        <v>0</v>
      </c>
      <c r="G290" s="3" t="b">
        <f t="shared" si="291"/>
        <v>0</v>
      </c>
      <c r="H290" s="2"/>
    </row>
    <row r="291" ht="15.75" customHeight="1">
      <c r="A291" s="2" t="s">
        <v>230</v>
      </c>
      <c r="B291" s="2" t="s">
        <v>230</v>
      </c>
      <c r="C291" s="3">
        <v>45601.93981481482</v>
      </c>
      <c r="D291" s="3" t="b">
        <f t="shared" si="2"/>
        <v>0</v>
      </c>
      <c r="E291" s="3" t="b">
        <f t="shared" si="3"/>
        <v>0</v>
      </c>
      <c r="F291" s="3" t="b">
        <f t="shared" ref="F291:G291" si="292">IF(ISNUMBER(SEARCH("Past Due",$A291)),TRUE,FALSE)</f>
        <v>0</v>
      </c>
      <c r="G291" s="3" t="b">
        <f t="shared" si="292"/>
        <v>0</v>
      </c>
      <c r="H291" s="2"/>
    </row>
    <row r="292" ht="15.75" customHeight="1">
      <c r="A292" s="2" t="s">
        <v>231</v>
      </c>
      <c r="B292" s="2" t="s">
        <v>231</v>
      </c>
      <c r="C292" s="2"/>
      <c r="D292" s="3" t="b">
        <f t="shared" si="2"/>
        <v>0</v>
      </c>
      <c r="E292" s="3" t="b">
        <f t="shared" si="3"/>
        <v>0</v>
      </c>
      <c r="F292" s="3" t="b">
        <f t="shared" ref="F292:G292" si="293">IF(ISNUMBER(SEARCH("Past Due",$A292)),TRUE,FALSE)</f>
        <v>0</v>
      </c>
      <c r="G292" s="3" t="b">
        <f t="shared" si="293"/>
        <v>0</v>
      </c>
      <c r="H292" s="2" t="s">
        <v>17</v>
      </c>
    </row>
    <row r="293" ht="15.75" customHeight="1">
      <c r="A293" s="2" t="s">
        <v>232</v>
      </c>
      <c r="B293" s="2" t="s">
        <v>232</v>
      </c>
      <c r="C293" s="3">
        <v>45448.79461805556</v>
      </c>
      <c r="D293" s="3" t="b">
        <f t="shared" si="2"/>
        <v>0</v>
      </c>
      <c r="E293" s="3" t="b">
        <f t="shared" si="3"/>
        <v>1</v>
      </c>
      <c r="F293" s="3" t="b">
        <f t="shared" ref="F293:G293" si="294">IF(ISNUMBER(SEARCH("Past Due",$A293)),TRUE,FALSE)</f>
        <v>0</v>
      </c>
      <c r="G293" s="3" t="b">
        <f t="shared" si="294"/>
        <v>0</v>
      </c>
      <c r="H293" s="2"/>
    </row>
    <row r="294" ht="15.75" customHeight="1">
      <c r="A294" s="2" t="s">
        <v>233</v>
      </c>
      <c r="B294" s="2" t="s">
        <v>233</v>
      </c>
      <c r="C294" s="2"/>
      <c r="D294" s="3" t="b">
        <f t="shared" si="2"/>
        <v>0</v>
      </c>
      <c r="E294" s="3" t="b">
        <f t="shared" si="3"/>
        <v>0</v>
      </c>
      <c r="F294" s="3" t="b">
        <f t="shared" ref="F294:G294" si="295">IF(ISNUMBER(SEARCH("Past Due",$A294)),TRUE,FALSE)</f>
        <v>0</v>
      </c>
      <c r="G294" s="3" t="b">
        <f t="shared" si="295"/>
        <v>0</v>
      </c>
      <c r="H294" s="2" t="s">
        <v>11</v>
      </c>
    </row>
    <row r="295" ht="15.75" customHeight="1">
      <c r="A295" s="2" t="s">
        <v>233</v>
      </c>
      <c r="B295" s="2" t="s">
        <v>233</v>
      </c>
      <c r="C295" s="2"/>
      <c r="D295" s="3" t="b">
        <f t="shared" si="2"/>
        <v>0</v>
      </c>
      <c r="E295" s="3" t="b">
        <f t="shared" si="3"/>
        <v>0</v>
      </c>
      <c r="F295" s="3" t="b">
        <f t="shared" ref="F295:G295" si="296">IF(ISNUMBER(SEARCH("Past Due",$A295)),TRUE,FALSE)</f>
        <v>0</v>
      </c>
      <c r="G295" s="3" t="b">
        <f t="shared" si="296"/>
        <v>0</v>
      </c>
      <c r="H295" s="2" t="s">
        <v>11</v>
      </c>
    </row>
    <row r="296" ht="15.75" customHeight="1">
      <c r="A296" s="2" t="s">
        <v>234</v>
      </c>
      <c r="B296" s="2" t="s">
        <v>234</v>
      </c>
      <c r="C296" s="3">
        <v>45448.886655092596</v>
      </c>
      <c r="D296" s="3" t="b">
        <f t="shared" si="2"/>
        <v>0</v>
      </c>
      <c r="E296" s="3" t="b">
        <f t="shared" si="3"/>
        <v>0</v>
      </c>
      <c r="F296" s="3" t="b">
        <f t="shared" ref="F296:G296" si="297">IF(ISNUMBER(SEARCH("Past Due",$A296)),TRUE,FALSE)</f>
        <v>0</v>
      </c>
      <c r="G296" s="3" t="b">
        <f t="shared" si="297"/>
        <v>0</v>
      </c>
      <c r="H296" s="2"/>
    </row>
    <row r="297" ht="15.75" customHeight="1">
      <c r="A297" s="2" t="s">
        <v>235</v>
      </c>
      <c r="B297" s="2" t="s">
        <v>235</v>
      </c>
      <c r="C297" s="3">
        <v>45478.82513888889</v>
      </c>
      <c r="D297" s="3" t="b">
        <f t="shared" si="2"/>
        <v>0</v>
      </c>
      <c r="E297" s="3" t="b">
        <f t="shared" si="3"/>
        <v>0</v>
      </c>
      <c r="F297" s="3" t="b">
        <f t="shared" ref="F297:G297" si="298">IF(ISNUMBER(SEARCH("Past Due",$A297)),TRUE,FALSE)</f>
        <v>1</v>
      </c>
      <c r="G297" s="3" t="b">
        <f t="shared" si="298"/>
        <v>1</v>
      </c>
      <c r="H297" s="2" t="s">
        <v>15</v>
      </c>
    </row>
    <row r="298" ht="15.75" customHeight="1">
      <c r="A298" s="2" t="s">
        <v>236</v>
      </c>
      <c r="B298" s="2" t="s">
        <v>236</v>
      </c>
      <c r="C298" s="3">
        <v>45540.776967592596</v>
      </c>
      <c r="D298" s="3" t="b">
        <f t="shared" si="2"/>
        <v>0</v>
      </c>
      <c r="E298" s="3" t="b">
        <f t="shared" si="3"/>
        <v>1</v>
      </c>
      <c r="F298" s="3" t="b">
        <f t="shared" ref="F298:G298" si="299">IF(ISNUMBER(SEARCH("Past Due",$A298)),TRUE,FALSE)</f>
        <v>0</v>
      </c>
      <c r="G298" s="3" t="b">
        <f t="shared" si="299"/>
        <v>0</v>
      </c>
      <c r="H298" s="2"/>
    </row>
    <row r="299" ht="15.75" customHeight="1">
      <c r="A299" s="2" t="s">
        <v>237</v>
      </c>
      <c r="B299" s="2" t="s">
        <v>237</v>
      </c>
      <c r="C299" s="3">
        <v>45601.780798611115</v>
      </c>
      <c r="D299" s="3" t="b">
        <f t="shared" si="2"/>
        <v>0</v>
      </c>
      <c r="E299" s="3" t="b">
        <f t="shared" si="3"/>
        <v>0</v>
      </c>
      <c r="F299" s="3" t="b">
        <f t="shared" ref="F299:G299" si="300">IF(ISNUMBER(SEARCH("Past Due",$A299)),TRUE,FALSE)</f>
        <v>0</v>
      </c>
      <c r="G299" s="3" t="b">
        <f t="shared" si="300"/>
        <v>0</v>
      </c>
      <c r="H299" s="2"/>
    </row>
    <row r="300" ht="15.75" customHeight="1">
      <c r="A300" s="2" t="s">
        <v>238</v>
      </c>
      <c r="B300" s="2" t="s">
        <v>238</v>
      </c>
      <c r="C300" s="2"/>
      <c r="D300" s="3" t="b">
        <f t="shared" si="2"/>
        <v>0</v>
      </c>
      <c r="E300" s="3" t="b">
        <f t="shared" si="3"/>
        <v>0</v>
      </c>
      <c r="F300" s="3" t="b">
        <f t="shared" ref="F300:G300" si="301">IF(ISNUMBER(SEARCH("Past Due",$A300)),TRUE,FALSE)</f>
        <v>0</v>
      </c>
      <c r="G300" s="3" t="b">
        <f t="shared" si="301"/>
        <v>0</v>
      </c>
      <c r="H300" s="2" t="s">
        <v>11</v>
      </c>
    </row>
    <row r="301" ht="15.75" customHeight="1">
      <c r="A301" s="2" t="s">
        <v>238</v>
      </c>
      <c r="B301" s="2" t="s">
        <v>238</v>
      </c>
      <c r="C301" s="2"/>
      <c r="D301" s="3" t="b">
        <f t="shared" si="2"/>
        <v>0</v>
      </c>
      <c r="E301" s="3" t="b">
        <f t="shared" si="3"/>
        <v>0</v>
      </c>
      <c r="F301" s="3" t="b">
        <f t="shared" ref="F301:G301" si="302">IF(ISNUMBER(SEARCH("Past Due",$A301)),TRUE,FALSE)</f>
        <v>0</v>
      </c>
      <c r="G301" s="3" t="b">
        <f t="shared" si="302"/>
        <v>0</v>
      </c>
      <c r="H301" s="2" t="s">
        <v>15</v>
      </c>
    </row>
    <row r="302" ht="15.75" customHeight="1">
      <c r="A302" s="2" t="s">
        <v>239</v>
      </c>
      <c r="B302" s="2" t="s">
        <v>239</v>
      </c>
      <c r="C302" s="3">
        <v>45478.76917824074</v>
      </c>
      <c r="D302" s="3" t="b">
        <f t="shared" si="2"/>
        <v>0</v>
      </c>
      <c r="E302" s="3" t="b">
        <f t="shared" si="3"/>
        <v>0</v>
      </c>
      <c r="F302" s="3" t="b">
        <f t="shared" ref="F302:G302" si="303">IF(ISNUMBER(SEARCH("Past Due",$A302)),TRUE,FALSE)</f>
        <v>0</v>
      </c>
      <c r="G302" s="3" t="b">
        <f t="shared" si="303"/>
        <v>0</v>
      </c>
      <c r="H302" s="2"/>
    </row>
    <row r="303" ht="15.75" customHeight="1">
      <c r="A303" s="2" t="s">
        <v>239</v>
      </c>
      <c r="B303" s="2" t="s">
        <v>239</v>
      </c>
      <c r="C303" s="3">
        <v>45540.85314814815</v>
      </c>
      <c r="D303" s="3" t="b">
        <f t="shared" si="2"/>
        <v>0</v>
      </c>
      <c r="E303" s="3" t="b">
        <f t="shared" si="3"/>
        <v>0</v>
      </c>
      <c r="F303" s="3" t="b">
        <f t="shared" ref="F303:G303" si="304">IF(ISNUMBER(SEARCH("Past Due",$A303)),TRUE,FALSE)</f>
        <v>0</v>
      </c>
      <c r="G303" s="3" t="b">
        <f t="shared" si="304"/>
        <v>0</v>
      </c>
      <c r="H303" s="2"/>
    </row>
    <row r="304" ht="15.75" customHeight="1">
      <c r="A304" s="2" t="s">
        <v>240</v>
      </c>
      <c r="B304" s="2" t="s">
        <v>240</v>
      </c>
      <c r="C304" s="2"/>
      <c r="D304" s="3" t="b">
        <f t="shared" si="2"/>
        <v>0</v>
      </c>
      <c r="E304" s="3" t="b">
        <f t="shared" si="3"/>
        <v>0</v>
      </c>
      <c r="F304" s="3" t="b">
        <f t="shared" ref="F304:G304" si="305">IF(ISNUMBER(SEARCH("Past Due",$A304)),TRUE,FALSE)</f>
        <v>0</v>
      </c>
      <c r="G304" s="3" t="b">
        <f t="shared" si="305"/>
        <v>0</v>
      </c>
      <c r="H304" s="2" t="s">
        <v>11</v>
      </c>
    </row>
    <row r="305" ht="15.75" customHeight="1">
      <c r="A305" s="2" t="s">
        <v>241</v>
      </c>
      <c r="B305" s="2" t="s">
        <v>241</v>
      </c>
      <c r="C305" s="3">
        <v>45448.759722222225</v>
      </c>
      <c r="D305" s="3" t="b">
        <f t="shared" si="2"/>
        <v>1</v>
      </c>
      <c r="E305" s="3" t="b">
        <f t="shared" si="3"/>
        <v>0</v>
      </c>
      <c r="F305" s="3" t="b">
        <f t="shared" ref="F305:G305" si="306">IF(ISNUMBER(SEARCH("Past Due",$A305)),TRUE,FALSE)</f>
        <v>0</v>
      </c>
      <c r="G305" s="3" t="b">
        <f t="shared" si="306"/>
        <v>0</v>
      </c>
      <c r="H305" s="2"/>
    </row>
    <row r="306" ht="15.75" customHeight="1">
      <c r="A306" s="2" t="s">
        <v>242</v>
      </c>
      <c r="B306" s="2" t="s">
        <v>242</v>
      </c>
      <c r="C306" s="2"/>
      <c r="D306" s="3" t="b">
        <f t="shared" si="2"/>
        <v>0</v>
      </c>
      <c r="E306" s="3" t="b">
        <f t="shared" si="3"/>
        <v>0</v>
      </c>
      <c r="F306" s="3" t="b">
        <f t="shared" ref="F306:G306" si="307">IF(ISNUMBER(SEARCH("Past Due",$A306)),TRUE,FALSE)</f>
        <v>0</v>
      </c>
      <c r="G306" s="3" t="b">
        <f t="shared" si="307"/>
        <v>0</v>
      </c>
      <c r="H306" s="2" t="s">
        <v>17</v>
      </c>
    </row>
    <row r="307" ht="15.75" customHeight="1">
      <c r="A307" s="2" t="s">
        <v>243</v>
      </c>
      <c r="B307" s="2" t="s">
        <v>243</v>
      </c>
      <c r="C307" s="3">
        <v>45570.76409722222</v>
      </c>
      <c r="D307" s="3" t="b">
        <f t="shared" si="2"/>
        <v>0</v>
      </c>
      <c r="E307" s="3" t="b">
        <f t="shared" si="3"/>
        <v>0</v>
      </c>
      <c r="F307" s="3" t="b">
        <f t="shared" ref="F307:G307" si="308">IF(ISNUMBER(SEARCH("Past Due",$A307)),TRUE,FALSE)</f>
        <v>0</v>
      </c>
      <c r="G307" s="3" t="b">
        <f t="shared" si="308"/>
        <v>0</v>
      </c>
      <c r="H307" s="2"/>
    </row>
    <row r="308" ht="15.75" customHeight="1">
      <c r="A308" s="2" t="s">
        <v>244</v>
      </c>
      <c r="B308" s="2" t="s">
        <v>244</v>
      </c>
      <c r="C308" s="2"/>
      <c r="D308" s="3" t="b">
        <f t="shared" si="2"/>
        <v>0</v>
      </c>
      <c r="E308" s="3" t="b">
        <f t="shared" si="3"/>
        <v>0</v>
      </c>
      <c r="F308" s="3" t="b">
        <f t="shared" ref="F308:G308" si="309">IF(ISNUMBER(SEARCH("Past Due",$A308)),TRUE,FALSE)</f>
        <v>0</v>
      </c>
      <c r="G308" s="3" t="b">
        <f t="shared" si="309"/>
        <v>0</v>
      </c>
      <c r="H308" s="2" t="s">
        <v>11</v>
      </c>
    </row>
    <row r="309" ht="15.75" customHeight="1">
      <c r="A309" s="2" t="s">
        <v>244</v>
      </c>
      <c r="B309" s="2" t="s">
        <v>244</v>
      </c>
      <c r="C309" s="2"/>
      <c r="D309" s="3" t="b">
        <f t="shared" si="2"/>
        <v>0</v>
      </c>
      <c r="E309" s="3" t="b">
        <f t="shared" si="3"/>
        <v>0</v>
      </c>
      <c r="F309" s="3" t="b">
        <f t="shared" ref="F309:G309" si="310">IF(ISNUMBER(SEARCH("Past Due",$A309)),TRUE,FALSE)</f>
        <v>0</v>
      </c>
      <c r="G309" s="3" t="b">
        <f t="shared" si="310"/>
        <v>0</v>
      </c>
      <c r="H309" s="2" t="s">
        <v>11</v>
      </c>
    </row>
    <row r="310" ht="15.75" customHeight="1">
      <c r="A310" s="2" t="s">
        <v>245</v>
      </c>
      <c r="B310" s="2" t="s">
        <v>245</v>
      </c>
      <c r="C310" s="3">
        <v>45448.91855324074</v>
      </c>
      <c r="D310" s="3" t="b">
        <f t="shared" si="2"/>
        <v>0</v>
      </c>
      <c r="E310" s="3" t="b">
        <f t="shared" si="3"/>
        <v>0</v>
      </c>
      <c r="F310" s="3" t="b">
        <f t="shared" ref="F310:G310" si="311">IF(ISNUMBER(SEARCH("Past Due",$A310)),TRUE,FALSE)</f>
        <v>0</v>
      </c>
      <c r="G310" s="3" t="b">
        <f t="shared" si="311"/>
        <v>0</v>
      </c>
      <c r="H310" s="2"/>
    </row>
    <row r="311" ht="15.75" customHeight="1">
      <c r="A311" s="2" t="s">
        <v>246</v>
      </c>
      <c r="B311" s="2" t="s">
        <v>246</v>
      </c>
      <c r="C311" s="3">
        <v>45478.85019675926</v>
      </c>
      <c r="D311" s="3" t="b">
        <f t="shared" si="2"/>
        <v>0</v>
      </c>
      <c r="E311" s="3" t="b">
        <f t="shared" si="3"/>
        <v>0</v>
      </c>
      <c r="F311" s="3" t="b">
        <f t="shared" ref="F311:G311" si="312">IF(ISNUMBER(SEARCH("Past Due",$A311)),TRUE,FALSE)</f>
        <v>1</v>
      </c>
      <c r="G311" s="3" t="b">
        <f t="shared" si="312"/>
        <v>1</v>
      </c>
      <c r="H311" s="2" t="s">
        <v>15</v>
      </c>
    </row>
    <row r="312" ht="15.75" customHeight="1">
      <c r="A312" s="2" t="s">
        <v>247</v>
      </c>
      <c r="B312" s="2" t="s">
        <v>247</v>
      </c>
      <c r="C312" s="3">
        <v>45540.790358796294</v>
      </c>
      <c r="D312" s="3" t="b">
        <f t="shared" si="2"/>
        <v>0</v>
      </c>
      <c r="E312" s="3" t="b">
        <f t="shared" si="3"/>
        <v>1</v>
      </c>
      <c r="F312" s="3" t="b">
        <f t="shared" ref="F312:G312" si="313">IF(ISNUMBER(SEARCH("Past Due",$A312)),TRUE,FALSE)</f>
        <v>0</v>
      </c>
      <c r="G312" s="3" t="b">
        <f t="shared" si="313"/>
        <v>0</v>
      </c>
      <c r="H312" s="2"/>
    </row>
    <row r="313" ht="15.75" customHeight="1">
      <c r="A313" s="2" t="s">
        <v>248</v>
      </c>
      <c r="B313" s="2" t="s">
        <v>248</v>
      </c>
      <c r="C313" s="2"/>
      <c r="D313" s="3" t="b">
        <f t="shared" si="2"/>
        <v>0</v>
      </c>
      <c r="E313" s="3" t="b">
        <f t="shared" si="3"/>
        <v>0</v>
      </c>
      <c r="F313" s="3" t="b">
        <f t="shared" ref="F313:G313" si="314">IF(ISNUMBER(SEARCH("Past Due",$A313)),TRUE,FALSE)</f>
        <v>0</v>
      </c>
      <c r="G313" s="3" t="b">
        <f t="shared" si="314"/>
        <v>0</v>
      </c>
      <c r="H313" s="2" t="s">
        <v>11</v>
      </c>
    </row>
    <row r="314" ht="15.75" customHeight="1">
      <c r="A314" s="2" t="s">
        <v>248</v>
      </c>
      <c r="B314" s="2" t="s">
        <v>248</v>
      </c>
      <c r="C314" s="2"/>
      <c r="D314" s="3" t="b">
        <f t="shared" si="2"/>
        <v>0</v>
      </c>
      <c r="E314" s="3" t="b">
        <f t="shared" si="3"/>
        <v>0</v>
      </c>
      <c r="F314" s="3" t="b">
        <f t="shared" ref="F314:G314" si="315">IF(ISNUMBER(SEARCH("Past Due",$A314)),TRUE,FALSE)</f>
        <v>0</v>
      </c>
      <c r="G314" s="3" t="b">
        <f t="shared" si="315"/>
        <v>0</v>
      </c>
      <c r="H314" s="2" t="s">
        <v>15</v>
      </c>
    </row>
    <row r="315" ht="15.75" customHeight="1">
      <c r="A315" s="2" t="s">
        <v>249</v>
      </c>
      <c r="B315" s="2" t="s">
        <v>249</v>
      </c>
      <c r="C315" s="2"/>
      <c r="D315" s="3" t="b">
        <f t="shared" si="2"/>
        <v>0</v>
      </c>
      <c r="E315" s="3" t="b">
        <f t="shared" si="3"/>
        <v>0</v>
      </c>
      <c r="F315" s="3" t="b">
        <f t="shared" ref="F315:G315" si="316">IF(ISNUMBER(SEARCH("Past Due",$A315)),TRUE,FALSE)</f>
        <v>0</v>
      </c>
      <c r="G315" s="3" t="b">
        <f t="shared" si="316"/>
        <v>0</v>
      </c>
      <c r="H315" s="2" t="s">
        <v>17</v>
      </c>
    </row>
    <row r="316" ht="15.75" customHeight="1">
      <c r="A316" s="2" t="s">
        <v>250</v>
      </c>
      <c r="B316" s="2" t="s">
        <v>250</v>
      </c>
      <c r="C316" s="3">
        <v>45417.0</v>
      </c>
      <c r="D316" s="3" t="b">
        <f t="shared" si="2"/>
        <v>0</v>
      </c>
      <c r="E316" s="3" t="b">
        <f t="shared" si="3"/>
        <v>0</v>
      </c>
      <c r="F316" s="3" t="b">
        <f t="shared" ref="F316:G316" si="317">IF(ISNUMBER(SEARCH("Past Due",$A316)),TRUE,FALSE)</f>
        <v>0</v>
      </c>
      <c r="G316" s="3" t="b">
        <f t="shared" si="317"/>
        <v>0</v>
      </c>
      <c r="H316" s="2"/>
    </row>
    <row r="317" ht="15.75" customHeight="1">
      <c r="A317" s="2" t="s">
        <v>250</v>
      </c>
      <c r="B317" s="2" t="s">
        <v>250</v>
      </c>
      <c r="C317" s="3">
        <v>45478.92155092592</v>
      </c>
      <c r="D317" s="3" t="b">
        <f t="shared" si="2"/>
        <v>0</v>
      </c>
      <c r="E317" s="3" t="b">
        <f t="shared" si="3"/>
        <v>0</v>
      </c>
      <c r="F317" s="3" t="b">
        <f t="shared" ref="F317:G317" si="318">IF(ISNUMBER(SEARCH("Past Due",$A317)),TRUE,FALSE)</f>
        <v>0</v>
      </c>
      <c r="G317" s="3" t="b">
        <f t="shared" si="318"/>
        <v>0</v>
      </c>
      <c r="H317" s="2"/>
    </row>
    <row r="318" ht="15.75" customHeight="1">
      <c r="A318" s="2" t="s">
        <v>251</v>
      </c>
      <c r="B318" s="2" t="s">
        <v>251</v>
      </c>
      <c r="C318" s="3">
        <v>45509.834756944445</v>
      </c>
      <c r="D318" s="3" t="b">
        <f t="shared" si="2"/>
        <v>0</v>
      </c>
      <c r="E318" s="3" t="b">
        <f t="shared" si="3"/>
        <v>0</v>
      </c>
      <c r="F318" s="3" t="b">
        <f t="shared" ref="F318:G318" si="319">IF(ISNUMBER(SEARCH("Past Due",$A318)),TRUE,FALSE)</f>
        <v>1</v>
      </c>
      <c r="G318" s="3" t="b">
        <f t="shared" si="319"/>
        <v>1</v>
      </c>
      <c r="H318" s="2" t="s">
        <v>15</v>
      </c>
    </row>
    <row r="319" ht="15.75" customHeight="1">
      <c r="A319" s="2" t="s">
        <v>252</v>
      </c>
      <c r="B319" s="2" t="s">
        <v>252</v>
      </c>
      <c r="C319" s="3">
        <v>45570.779027777775</v>
      </c>
      <c r="D319" s="3" t="b">
        <f t="shared" si="2"/>
        <v>0</v>
      </c>
      <c r="E319" s="3" t="b">
        <f t="shared" si="3"/>
        <v>1</v>
      </c>
      <c r="F319" s="3" t="b">
        <f t="shared" ref="F319:G319" si="320">IF(ISNUMBER(SEARCH("Past Due",$A319)),TRUE,FALSE)</f>
        <v>0</v>
      </c>
      <c r="G319" s="3" t="b">
        <f t="shared" si="320"/>
        <v>0</v>
      </c>
      <c r="H319" s="2"/>
    </row>
    <row r="320" ht="15.75" customHeight="1">
      <c r="A320" s="2" t="s">
        <v>253</v>
      </c>
      <c r="B320" s="2" t="s">
        <v>253</v>
      </c>
      <c r="C320" s="2"/>
      <c r="D320" s="3" t="b">
        <f t="shared" si="2"/>
        <v>0</v>
      </c>
      <c r="E320" s="3" t="b">
        <f t="shared" si="3"/>
        <v>0</v>
      </c>
      <c r="F320" s="3" t="b">
        <f t="shared" ref="F320:G320" si="321">IF(ISNUMBER(SEARCH("Past Due",$A320)),TRUE,FALSE)</f>
        <v>0</v>
      </c>
      <c r="G320" s="3" t="b">
        <f t="shared" si="321"/>
        <v>0</v>
      </c>
      <c r="H320" s="2" t="s">
        <v>11</v>
      </c>
    </row>
    <row r="321" ht="15.75" customHeight="1">
      <c r="A321" s="2" t="s">
        <v>253</v>
      </c>
      <c r="B321" s="2" t="s">
        <v>253</v>
      </c>
      <c r="C321" s="2"/>
      <c r="D321" s="3" t="b">
        <f t="shared" si="2"/>
        <v>0</v>
      </c>
      <c r="E321" s="3" t="b">
        <f t="shared" si="3"/>
        <v>0</v>
      </c>
      <c r="F321" s="3" t="b">
        <f t="shared" ref="F321:G321" si="322">IF(ISNUMBER(SEARCH("Past Due",$A321)),TRUE,FALSE)</f>
        <v>0</v>
      </c>
      <c r="G321" s="3" t="b">
        <f t="shared" si="322"/>
        <v>0</v>
      </c>
      <c r="H321" s="2" t="s">
        <v>11</v>
      </c>
    </row>
    <row r="322" ht="15.75" customHeight="1">
      <c r="A322" s="2" t="s">
        <v>253</v>
      </c>
      <c r="B322" s="2" t="s">
        <v>253</v>
      </c>
      <c r="C322" s="2"/>
      <c r="D322" s="3" t="b">
        <f t="shared" si="2"/>
        <v>0</v>
      </c>
      <c r="E322" s="3" t="b">
        <f t="shared" si="3"/>
        <v>0</v>
      </c>
      <c r="F322" s="3" t="b">
        <f t="shared" ref="F322:G322" si="323">IF(ISNUMBER(SEARCH("Past Due",$A322)),TRUE,FALSE)</f>
        <v>0</v>
      </c>
      <c r="G322" s="3" t="b">
        <f t="shared" si="323"/>
        <v>0</v>
      </c>
      <c r="H322" s="2" t="s">
        <v>15</v>
      </c>
    </row>
    <row r="323" ht="15.75" customHeight="1">
      <c r="A323" s="2" t="s">
        <v>254</v>
      </c>
      <c r="B323" s="2" t="s">
        <v>254</v>
      </c>
      <c r="C323" s="3">
        <v>45478.75747685185</v>
      </c>
      <c r="D323" s="3" t="b">
        <f t="shared" si="2"/>
        <v>0</v>
      </c>
      <c r="E323" s="3" t="b">
        <f t="shared" si="3"/>
        <v>0</v>
      </c>
      <c r="F323" s="3" t="b">
        <f t="shared" ref="F323:G323" si="324">IF(ISNUMBER(SEARCH("Past Due",$A323)),TRUE,FALSE)</f>
        <v>0</v>
      </c>
      <c r="G323" s="3" t="b">
        <f t="shared" si="324"/>
        <v>0</v>
      </c>
      <c r="H323" s="2"/>
    </row>
    <row r="324" ht="15.75" customHeight="1">
      <c r="A324" s="2" t="s">
        <v>254</v>
      </c>
      <c r="B324" s="2" t="s">
        <v>254</v>
      </c>
      <c r="C324" s="3">
        <v>45540.868414351855</v>
      </c>
      <c r="D324" s="3" t="b">
        <f t="shared" si="2"/>
        <v>0</v>
      </c>
      <c r="E324" s="3" t="b">
        <f t="shared" si="3"/>
        <v>0</v>
      </c>
      <c r="F324" s="3" t="b">
        <f t="shared" ref="F324:G324" si="325">IF(ISNUMBER(SEARCH("Past Due",$A324)),TRUE,FALSE)</f>
        <v>0</v>
      </c>
      <c r="G324" s="3" t="b">
        <f t="shared" si="325"/>
        <v>0</v>
      </c>
      <c r="H324" s="2"/>
    </row>
    <row r="325" ht="15.75" customHeight="1">
      <c r="A325" s="2" t="s">
        <v>255</v>
      </c>
      <c r="B325" s="2" t="s">
        <v>255</v>
      </c>
      <c r="C325" s="3">
        <v>45570.80961805556</v>
      </c>
      <c r="D325" s="3" t="b">
        <f t="shared" si="2"/>
        <v>0</v>
      </c>
      <c r="E325" s="3" t="b">
        <f t="shared" si="3"/>
        <v>0</v>
      </c>
      <c r="F325" s="3" t="b">
        <f t="shared" ref="F325:G325" si="326">IF(ISNUMBER(SEARCH("Past Due",$A325)),TRUE,FALSE)</f>
        <v>1</v>
      </c>
      <c r="G325" s="3" t="b">
        <f t="shared" si="326"/>
        <v>1</v>
      </c>
      <c r="H325" s="2" t="s">
        <v>15</v>
      </c>
    </row>
    <row r="326" ht="15.75" customHeight="1">
      <c r="A326" s="2" t="s">
        <v>256</v>
      </c>
      <c r="B326" s="2" t="s">
        <v>256</v>
      </c>
      <c r="C326" s="2"/>
      <c r="D326" s="3" t="b">
        <f t="shared" si="2"/>
        <v>0</v>
      </c>
      <c r="E326" s="3" t="b">
        <f t="shared" si="3"/>
        <v>0</v>
      </c>
      <c r="F326" s="3" t="b">
        <f t="shared" ref="F326:G326" si="327">IF(ISNUMBER(SEARCH("Past Due",$A326)),TRUE,FALSE)</f>
        <v>0</v>
      </c>
      <c r="G326" s="3" t="b">
        <f t="shared" si="327"/>
        <v>0</v>
      </c>
      <c r="H326" s="2" t="s">
        <v>11</v>
      </c>
    </row>
    <row r="327" ht="15.75" customHeight="1">
      <c r="A327" s="2" t="s">
        <v>256</v>
      </c>
      <c r="B327" s="2" t="s">
        <v>256</v>
      </c>
      <c r="C327" s="2"/>
      <c r="D327" s="3" t="b">
        <f t="shared" si="2"/>
        <v>0</v>
      </c>
      <c r="E327" s="3" t="b">
        <f t="shared" si="3"/>
        <v>0</v>
      </c>
      <c r="F327" s="3" t="b">
        <f t="shared" ref="F327:G327" si="328">IF(ISNUMBER(SEARCH("Past Due",$A327)),TRUE,FALSE)</f>
        <v>0</v>
      </c>
      <c r="G327" s="3" t="b">
        <f t="shared" si="328"/>
        <v>0</v>
      </c>
      <c r="H327" s="2" t="s">
        <v>11</v>
      </c>
    </row>
    <row r="328" ht="15.75" customHeight="1">
      <c r="A328" s="2" t="s">
        <v>256</v>
      </c>
      <c r="B328" s="2" t="s">
        <v>256</v>
      </c>
      <c r="C328" s="2"/>
      <c r="D328" s="3" t="b">
        <f t="shared" si="2"/>
        <v>0</v>
      </c>
      <c r="E328" s="3" t="b">
        <f t="shared" si="3"/>
        <v>0</v>
      </c>
      <c r="F328" s="3" t="b">
        <f t="shared" ref="F328:G328" si="329">IF(ISNUMBER(SEARCH("Past Due",$A328)),TRUE,FALSE)</f>
        <v>0</v>
      </c>
      <c r="G328" s="3" t="b">
        <f t="shared" si="329"/>
        <v>0</v>
      </c>
      <c r="H328" s="2" t="s">
        <v>15</v>
      </c>
    </row>
    <row r="329" ht="15.75" customHeight="1">
      <c r="A329" s="2" t="s">
        <v>257</v>
      </c>
      <c r="B329" s="2" t="s">
        <v>257</v>
      </c>
      <c r="C329" s="3">
        <v>45448.764236111114</v>
      </c>
      <c r="D329" s="3" t="b">
        <f t="shared" si="2"/>
        <v>0</v>
      </c>
      <c r="E329" s="3" t="b">
        <f t="shared" si="3"/>
        <v>0</v>
      </c>
      <c r="F329" s="3" t="b">
        <f t="shared" ref="F329:G329" si="330">IF(ISNUMBER(SEARCH("Past Due",$A329)),TRUE,FALSE)</f>
        <v>0</v>
      </c>
      <c r="G329" s="3" t="b">
        <f t="shared" si="330"/>
        <v>0</v>
      </c>
      <c r="H329" s="2"/>
    </row>
    <row r="330" ht="15.75" customHeight="1">
      <c r="A330" s="2" t="s">
        <v>257</v>
      </c>
      <c r="B330" s="2" t="s">
        <v>257</v>
      </c>
      <c r="C330" s="3">
        <v>45509.90194444444</v>
      </c>
      <c r="D330" s="3" t="b">
        <f t="shared" si="2"/>
        <v>0</v>
      </c>
      <c r="E330" s="3" t="b">
        <f t="shared" si="3"/>
        <v>0</v>
      </c>
      <c r="F330" s="3" t="b">
        <f t="shared" ref="F330:G330" si="331">IF(ISNUMBER(SEARCH("Past Due",$A330)),TRUE,FALSE)</f>
        <v>0</v>
      </c>
      <c r="G330" s="3" t="b">
        <f t="shared" si="331"/>
        <v>0</v>
      </c>
      <c r="H330" s="2"/>
    </row>
    <row r="331" ht="15.75" customHeight="1">
      <c r="A331" s="2" t="s">
        <v>258</v>
      </c>
      <c r="B331" s="2" t="s">
        <v>258</v>
      </c>
      <c r="C331" s="3">
        <v>45540.82232638889</v>
      </c>
      <c r="D331" s="3" t="b">
        <f t="shared" si="2"/>
        <v>0</v>
      </c>
      <c r="E331" s="3" t="b">
        <f t="shared" si="3"/>
        <v>0</v>
      </c>
      <c r="F331" s="3" t="b">
        <f t="shared" ref="F331:G331" si="332">IF(ISNUMBER(SEARCH("Past Due",$A331)),TRUE,FALSE)</f>
        <v>1</v>
      </c>
      <c r="G331" s="3" t="b">
        <f t="shared" si="332"/>
        <v>1</v>
      </c>
      <c r="H331" s="2" t="s">
        <v>15</v>
      </c>
    </row>
    <row r="332" ht="15.75" customHeight="1">
      <c r="A332" s="2" t="s">
        <v>259</v>
      </c>
      <c r="B332" s="2" t="s">
        <v>259</v>
      </c>
      <c r="C332" s="3">
        <v>45601.7668287037</v>
      </c>
      <c r="D332" s="3" t="b">
        <f t="shared" si="2"/>
        <v>0</v>
      </c>
      <c r="E332" s="3" t="b">
        <f t="shared" si="3"/>
        <v>1</v>
      </c>
      <c r="F332" s="3" t="b">
        <f t="shared" ref="F332:G332" si="333">IF(ISNUMBER(SEARCH("Past Due",$A332)),TRUE,FALSE)</f>
        <v>0</v>
      </c>
      <c r="G332" s="3" t="b">
        <f t="shared" si="333"/>
        <v>0</v>
      </c>
      <c r="H332" s="2"/>
    </row>
    <row r="333" ht="15.75" customHeight="1">
      <c r="A333" s="2" t="s">
        <v>260</v>
      </c>
      <c r="B333" s="2" t="s">
        <v>260</v>
      </c>
      <c r="C333" s="3">
        <v>45601.76528935185</v>
      </c>
      <c r="D333" s="3" t="b">
        <f t="shared" si="2"/>
        <v>0</v>
      </c>
      <c r="E333" s="3" t="b">
        <f t="shared" si="3"/>
        <v>0</v>
      </c>
      <c r="F333" s="3" t="b">
        <f t="shared" ref="F333:G333" si="334">IF(ISNUMBER(SEARCH("Past Due",$A333)),TRUE,FALSE)</f>
        <v>0</v>
      </c>
      <c r="G333" s="3" t="b">
        <f t="shared" si="334"/>
        <v>0</v>
      </c>
      <c r="H333" s="2"/>
    </row>
    <row r="334" ht="15.75" customHeight="1">
      <c r="A334" s="2" t="s">
        <v>261</v>
      </c>
      <c r="B334" s="2" t="s">
        <v>261</v>
      </c>
      <c r="C334" s="2"/>
      <c r="D334" s="3" t="b">
        <f t="shared" si="2"/>
        <v>0</v>
      </c>
      <c r="E334" s="3" t="b">
        <f t="shared" si="3"/>
        <v>0</v>
      </c>
      <c r="F334" s="3" t="b">
        <f t="shared" ref="F334:G334" si="335">IF(ISNUMBER(SEARCH("Past Due",$A334)),TRUE,FALSE)</f>
        <v>0</v>
      </c>
      <c r="G334" s="3" t="b">
        <f t="shared" si="335"/>
        <v>0</v>
      </c>
      <c r="H334" s="2" t="s">
        <v>11</v>
      </c>
    </row>
    <row r="335" ht="15.75" customHeight="1">
      <c r="A335" s="2" t="s">
        <v>261</v>
      </c>
      <c r="B335" s="2" t="s">
        <v>261</v>
      </c>
      <c r="C335" s="2"/>
      <c r="D335" s="3" t="b">
        <f t="shared" si="2"/>
        <v>0</v>
      </c>
      <c r="E335" s="3" t="b">
        <f t="shared" si="3"/>
        <v>0</v>
      </c>
      <c r="F335" s="3" t="b">
        <f t="shared" ref="F335:G335" si="336">IF(ISNUMBER(SEARCH("Past Due",$A335)),TRUE,FALSE)</f>
        <v>0</v>
      </c>
      <c r="G335" s="3" t="b">
        <f t="shared" si="336"/>
        <v>0</v>
      </c>
      <c r="H335" s="2" t="s">
        <v>11</v>
      </c>
    </row>
    <row r="336" ht="15.75" customHeight="1">
      <c r="A336" s="2" t="s">
        <v>261</v>
      </c>
      <c r="B336" s="2" t="s">
        <v>261</v>
      </c>
      <c r="C336" s="2"/>
      <c r="D336" s="3" t="b">
        <f t="shared" si="2"/>
        <v>0</v>
      </c>
      <c r="E336" s="3" t="b">
        <f t="shared" si="3"/>
        <v>0</v>
      </c>
      <c r="F336" s="3" t="b">
        <f t="shared" ref="F336:G336" si="337">IF(ISNUMBER(SEARCH("Past Due",$A336)),TRUE,FALSE)</f>
        <v>0</v>
      </c>
      <c r="G336" s="3" t="b">
        <f t="shared" si="337"/>
        <v>0</v>
      </c>
      <c r="H336" s="2" t="s">
        <v>15</v>
      </c>
    </row>
    <row r="337" ht="15.75" customHeight="1">
      <c r="A337" s="2" t="s">
        <v>262</v>
      </c>
      <c r="B337" s="2" t="s">
        <v>262</v>
      </c>
      <c r="C337" s="3">
        <v>45448.88002314815</v>
      </c>
      <c r="D337" s="3" t="b">
        <f t="shared" si="2"/>
        <v>0</v>
      </c>
      <c r="E337" s="3" t="b">
        <f t="shared" si="3"/>
        <v>0</v>
      </c>
      <c r="F337" s="3" t="b">
        <f t="shared" ref="F337:G337" si="338">IF(ISNUMBER(SEARCH("Past Due",$A337)),TRUE,FALSE)</f>
        <v>0</v>
      </c>
      <c r="G337" s="3" t="b">
        <f t="shared" si="338"/>
        <v>0</v>
      </c>
      <c r="H337" s="2"/>
    </row>
    <row r="338" ht="15.75" customHeight="1">
      <c r="A338" s="2" t="s">
        <v>263</v>
      </c>
      <c r="B338" s="2" t="s">
        <v>263</v>
      </c>
      <c r="C338" s="3">
        <v>45478.820381944446</v>
      </c>
      <c r="D338" s="3" t="b">
        <f t="shared" si="2"/>
        <v>0</v>
      </c>
      <c r="E338" s="3" t="b">
        <f t="shared" si="3"/>
        <v>0</v>
      </c>
      <c r="F338" s="3" t="b">
        <f t="shared" ref="F338:G338" si="339">IF(ISNUMBER(SEARCH("Past Due",$A338)),TRUE,FALSE)</f>
        <v>1</v>
      </c>
      <c r="G338" s="3" t="b">
        <f t="shared" si="339"/>
        <v>1</v>
      </c>
      <c r="H338" s="2" t="s">
        <v>15</v>
      </c>
    </row>
    <row r="339" ht="15.75" customHeight="1">
      <c r="A339" s="2" t="s">
        <v>264</v>
      </c>
      <c r="B339" s="2" t="s">
        <v>264</v>
      </c>
      <c r="C339" s="3">
        <v>45540.77001157407</v>
      </c>
      <c r="D339" s="3" t="b">
        <f t="shared" si="2"/>
        <v>0</v>
      </c>
      <c r="E339" s="3" t="b">
        <f t="shared" si="3"/>
        <v>1</v>
      </c>
      <c r="F339" s="3" t="b">
        <f t="shared" ref="F339:G339" si="340">IF(ISNUMBER(SEARCH("Past Due",$A339)),TRUE,FALSE)</f>
        <v>0</v>
      </c>
      <c r="G339" s="3" t="b">
        <f t="shared" si="340"/>
        <v>0</v>
      </c>
      <c r="H339" s="2"/>
    </row>
    <row r="340" ht="15.75" customHeight="1">
      <c r="A340" s="2" t="s">
        <v>265</v>
      </c>
      <c r="B340" s="2" t="s">
        <v>265</v>
      </c>
      <c r="C340" s="2"/>
      <c r="D340" s="3" t="b">
        <f t="shared" si="2"/>
        <v>0</v>
      </c>
      <c r="E340" s="3" t="b">
        <f t="shared" si="3"/>
        <v>0</v>
      </c>
      <c r="F340" s="3" t="b">
        <f t="shared" ref="F340:G340" si="341">IF(ISNUMBER(SEARCH("Past Due",$A340)),TRUE,FALSE)</f>
        <v>0</v>
      </c>
      <c r="G340" s="3" t="b">
        <f t="shared" si="341"/>
        <v>0</v>
      </c>
      <c r="H340" s="2" t="s">
        <v>11</v>
      </c>
    </row>
    <row r="341" ht="15.75" customHeight="1">
      <c r="A341" s="2" t="s">
        <v>265</v>
      </c>
      <c r="B341" s="2" t="s">
        <v>265</v>
      </c>
      <c r="C341" s="2"/>
      <c r="D341" s="3" t="b">
        <f t="shared" si="2"/>
        <v>0</v>
      </c>
      <c r="E341" s="3" t="b">
        <f t="shared" si="3"/>
        <v>0</v>
      </c>
      <c r="F341" s="3" t="b">
        <f t="shared" ref="F341:G341" si="342">IF(ISNUMBER(SEARCH("Past Due",$A341)),TRUE,FALSE)</f>
        <v>0</v>
      </c>
      <c r="G341" s="3" t="b">
        <f t="shared" si="342"/>
        <v>0</v>
      </c>
      <c r="H341" s="2" t="s">
        <v>11</v>
      </c>
    </row>
    <row r="342" ht="15.75" customHeight="1">
      <c r="A342" s="2" t="s">
        <v>265</v>
      </c>
      <c r="B342" s="2" t="s">
        <v>265</v>
      </c>
      <c r="C342" s="2"/>
      <c r="D342" s="3" t="b">
        <f t="shared" si="2"/>
        <v>0</v>
      </c>
      <c r="E342" s="3" t="b">
        <f t="shared" si="3"/>
        <v>0</v>
      </c>
      <c r="F342" s="3" t="b">
        <f t="shared" ref="F342:G342" si="343">IF(ISNUMBER(SEARCH("Past Due",$A342)),TRUE,FALSE)</f>
        <v>0</v>
      </c>
      <c r="G342" s="3" t="b">
        <f t="shared" si="343"/>
        <v>0</v>
      </c>
      <c r="H342" s="2" t="s">
        <v>11</v>
      </c>
    </row>
    <row r="343" ht="15.75" customHeight="1">
      <c r="A343" s="2" t="s">
        <v>266</v>
      </c>
      <c r="B343" s="2" t="s">
        <v>266</v>
      </c>
      <c r="C343" s="3">
        <v>45417.0</v>
      </c>
      <c r="D343" s="3" t="b">
        <f t="shared" si="2"/>
        <v>0</v>
      </c>
      <c r="E343" s="3" t="b">
        <f t="shared" si="3"/>
        <v>0</v>
      </c>
      <c r="F343" s="3" t="b">
        <f t="shared" ref="F343:G343" si="344">IF(ISNUMBER(SEARCH("Past Due",$A343)),TRUE,FALSE)</f>
        <v>1</v>
      </c>
      <c r="G343" s="3" t="b">
        <f t="shared" si="344"/>
        <v>1</v>
      </c>
      <c r="H343" s="2" t="s">
        <v>15</v>
      </c>
    </row>
    <row r="344" ht="15.75" customHeight="1">
      <c r="A344" s="2" t="s">
        <v>267</v>
      </c>
      <c r="B344" s="2" t="s">
        <v>267</v>
      </c>
      <c r="C344" s="3">
        <v>45570.76043981482</v>
      </c>
      <c r="D344" s="3" t="b">
        <f t="shared" si="2"/>
        <v>1</v>
      </c>
      <c r="E344" s="3" t="b">
        <f t="shared" si="3"/>
        <v>0</v>
      </c>
      <c r="F344" s="3" t="b">
        <f t="shared" ref="F344:G344" si="345">IF(ISNUMBER(SEARCH("Past Due",$A344)),TRUE,FALSE)</f>
        <v>0</v>
      </c>
      <c r="G344" s="3" t="b">
        <f t="shared" si="345"/>
        <v>0</v>
      </c>
      <c r="H344" s="2"/>
    </row>
    <row r="345" ht="15.75" customHeight="1">
      <c r="A345" s="2" t="s">
        <v>268</v>
      </c>
      <c r="B345" s="2" t="s">
        <v>268</v>
      </c>
      <c r="C345" s="3">
        <v>45478.767476851855</v>
      </c>
      <c r="D345" s="3" t="b">
        <f t="shared" si="2"/>
        <v>0</v>
      </c>
      <c r="E345" s="3" t="b">
        <f t="shared" si="3"/>
        <v>1</v>
      </c>
      <c r="F345" s="3" t="b">
        <f t="shared" ref="F345:G345" si="346">IF(ISNUMBER(SEARCH("Past Due",$A345)),TRUE,FALSE)</f>
        <v>0</v>
      </c>
      <c r="G345" s="3" t="b">
        <f t="shared" si="346"/>
        <v>0</v>
      </c>
      <c r="H345" s="2"/>
    </row>
    <row r="346" ht="15.75" customHeight="1">
      <c r="A346" s="2" t="s">
        <v>269</v>
      </c>
      <c r="B346" s="2" t="s">
        <v>269</v>
      </c>
      <c r="C346" s="3">
        <v>45478.79467592593</v>
      </c>
      <c r="D346" s="3" t="b">
        <f t="shared" si="2"/>
        <v>1</v>
      </c>
      <c r="E346" s="3" t="b">
        <f t="shared" si="3"/>
        <v>0</v>
      </c>
      <c r="F346" s="3" t="b">
        <f t="shared" ref="F346:G346" si="347">IF(ISNUMBER(SEARCH("Past Due",$A346)),TRUE,FALSE)</f>
        <v>0</v>
      </c>
      <c r="G346" s="3" t="b">
        <f t="shared" si="347"/>
        <v>0</v>
      </c>
      <c r="H346" s="2"/>
    </row>
    <row r="347" ht="15.75" customHeight="1">
      <c r="A347" s="2" t="s">
        <v>270</v>
      </c>
      <c r="B347" s="2" t="s">
        <v>270</v>
      </c>
      <c r="C347" s="2"/>
      <c r="D347" s="3" t="b">
        <f t="shared" si="2"/>
        <v>0</v>
      </c>
      <c r="E347" s="3" t="b">
        <f t="shared" si="3"/>
        <v>0</v>
      </c>
      <c r="F347" s="3" t="b">
        <f t="shared" ref="F347:G347" si="348">IF(ISNUMBER(SEARCH("Past Due",$A347)),TRUE,FALSE)</f>
        <v>0</v>
      </c>
      <c r="G347" s="3" t="b">
        <f t="shared" si="348"/>
        <v>0</v>
      </c>
      <c r="H347" s="2" t="s">
        <v>11</v>
      </c>
    </row>
    <row r="348" ht="15.75" customHeight="1">
      <c r="A348" s="2" t="s">
        <v>271</v>
      </c>
      <c r="B348" s="2" t="s">
        <v>271</v>
      </c>
      <c r="C348" s="3">
        <v>45570.77761574074</v>
      </c>
      <c r="D348" s="3" t="b">
        <f t="shared" si="2"/>
        <v>0</v>
      </c>
      <c r="E348" s="3" t="b">
        <f t="shared" si="3"/>
        <v>0</v>
      </c>
      <c r="F348" s="3" t="b">
        <f t="shared" ref="F348:G348" si="349">IF(ISNUMBER(SEARCH("Past Due",$A348)),TRUE,FALSE)</f>
        <v>0</v>
      </c>
      <c r="G348" s="3" t="b">
        <f t="shared" si="349"/>
        <v>0</v>
      </c>
      <c r="H348" s="2"/>
    </row>
    <row r="349" ht="15.75" customHeight="1">
      <c r="A349" s="2" t="s">
        <v>272</v>
      </c>
      <c r="B349" s="2" t="s">
        <v>272</v>
      </c>
      <c r="C349" s="2"/>
      <c r="D349" s="3" t="b">
        <f t="shared" si="2"/>
        <v>0</v>
      </c>
      <c r="E349" s="3" t="b">
        <f t="shared" si="3"/>
        <v>0</v>
      </c>
      <c r="F349" s="3" t="b">
        <f t="shared" ref="F349:G349" si="350">IF(ISNUMBER(SEARCH("Past Due",$A349)),TRUE,FALSE)</f>
        <v>0</v>
      </c>
      <c r="G349" s="3" t="b">
        <f t="shared" si="350"/>
        <v>0</v>
      </c>
      <c r="H349" s="2" t="s">
        <v>11</v>
      </c>
    </row>
    <row r="350" ht="15.75" customHeight="1">
      <c r="A350" s="2" t="s">
        <v>273</v>
      </c>
      <c r="B350" s="2" t="s">
        <v>273</v>
      </c>
      <c r="C350" s="3">
        <v>45417.0</v>
      </c>
      <c r="D350" s="3" t="b">
        <f t="shared" si="2"/>
        <v>1</v>
      </c>
      <c r="E350" s="3" t="b">
        <f t="shared" si="3"/>
        <v>0</v>
      </c>
      <c r="F350" s="3" t="b">
        <f t="shared" ref="F350:G350" si="351">IF(ISNUMBER(SEARCH("Past Due",$A350)),TRUE,FALSE)</f>
        <v>0</v>
      </c>
      <c r="G350" s="3" t="b">
        <f t="shared" si="351"/>
        <v>0</v>
      </c>
      <c r="H350" s="2"/>
    </row>
    <row r="351" ht="15.75" customHeight="1">
      <c r="A351" s="2" t="s">
        <v>274</v>
      </c>
      <c r="B351" s="2" t="s">
        <v>274</v>
      </c>
      <c r="C351" s="3">
        <v>45601.76694444445</v>
      </c>
      <c r="D351" s="3" t="b">
        <f t="shared" si="2"/>
        <v>0</v>
      </c>
      <c r="E351" s="3" t="b">
        <f t="shared" si="3"/>
        <v>0</v>
      </c>
      <c r="F351" s="3" t="b">
        <f t="shared" ref="F351:G351" si="352">IF(ISNUMBER(SEARCH("Past Due",$A351)),TRUE,FALSE)</f>
        <v>0</v>
      </c>
      <c r="G351" s="3" t="b">
        <f t="shared" si="352"/>
        <v>0</v>
      </c>
      <c r="H351" s="2"/>
    </row>
    <row r="352" ht="15.75" customHeight="1">
      <c r="A352" s="2" t="s">
        <v>275</v>
      </c>
      <c r="B352" s="2" t="s">
        <v>275</v>
      </c>
      <c r="C352" s="2"/>
      <c r="D352" s="3" t="b">
        <f t="shared" si="2"/>
        <v>0</v>
      </c>
      <c r="E352" s="3" t="b">
        <f t="shared" si="3"/>
        <v>0</v>
      </c>
      <c r="F352" s="3" t="b">
        <f t="shared" ref="F352:G352" si="353">IF(ISNUMBER(SEARCH("Past Due",$A352)),TRUE,FALSE)</f>
        <v>0</v>
      </c>
      <c r="G352" s="3" t="b">
        <f t="shared" si="353"/>
        <v>0</v>
      </c>
      <c r="H352" s="2" t="s">
        <v>11</v>
      </c>
    </row>
    <row r="353" ht="15.75" customHeight="1">
      <c r="A353" s="2" t="s">
        <v>276</v>
      </c>
      <c r="B353" s="2" t="s">
        <v>276</v>
      </c>
      <c r="C353" s="3">
        <v>45509.77054398148</v>
      </c>
      <c r="D353" s="3" t="b">
        <f t="shared" si="2"/>
        <v>1</v>
      </c>
      <c r="E353" s="3" t="b">
        <f t="shared" si="3"/>
        <v>0</v>
      </c>
      <c r="F353" s="3" t="b">
        <f t="shared" ref="F353:G353" si="354">IF(ISNUMBER(SEARCH("Past Due",$A353)),TRUE,FALSE)</f>
        <v>0</v>
      </c>
      <c r="G353" s="3" t="b">
        <f t="shared" si="354"/>
        <v>0</v>
      </c>
      <c r="H353" s="2"/>
    </row>
    <row r="354" ht="15.75" customHeight="1">
      <c r="A354" s="2" t="s">
        <v>277</v>
      </c>
      <c r="B354" s="2" t="s">
        <v>277</v>
      </c>
      <c r="C354" s="3">
        <v>45417.0</v>
      </c>
      <c r="D354" s="3" t="b">
        <f t="shared" si="2"/>
        <v>0</v>
      </c>
      <c r="E354" s="3" t="b">
        <f t="shared" si="3"/>
        <v>1</v>
      </c>
      <c r="F354" s="3" t="b">
        <f t="shared" ref="F354:G354" si="355">IF(ISNUMBER(SEARCH("Past Due",$A354)),TRUE,FALSE)</f>
        <v>0</v>
      </c>
      <c r="G354" s="3" t="b">
        <f t="shared" si="355"/>
        <v>0</v>
      </c>
      <c r="H354" s="2"/>
    </row>
    <row r="355" ht="15.75" customHeight="1">
      <c r="A355" s="2" t="s">
        <v>278</v>
      </c>
      <c r="B355" s="2" t="s">
        <v>278</v>
      </c>
      <c r="C355" s="2"/>
      <c r="D355" s="3" t="b">
        <f t="shared" si="2"/>
        <v>0</v>
      </c>
      <c r="E355" s="3" t="b">
        <f t="shared" si="3"/>
        <v>0</v>
      </c>
      <c r="F355" s="3" t="b">
        <f t="shared" ref="F355:G355" si="356">IF(ISNUMBER(SEARCH("Past Due",$A355)),TRUE,FALSE)</f>
        <v>0</v>
      </c>
      <c r="G355" s="3" t="b">
        <f t="shared" si="356"/>
        <v>0</v>
      </c>
      <c r="H355" s="2" t="s">
        <v>15</v>
      </c>
    </row>
    <row r="356" ht="15.75" customHeight="1">
      <c r="A356" s="2" t="s">
        <v>279</v>
      </c>
      <c r="B356" s="2" t="s">
        <v>279</v>
      </c>
      <c r="C356" s="3">
        <v>45478.79482638889</v>
      </c>
      <c r="D356" s="3" t="b">
        <f t="shared" si="2"/>
        <v>1</v>
      </c>
      <c r="E356" s="3" t="b">
        <f t="shared" si="3"/>
        <v>0</v>
      </c>
      <c r="F356" s="3" t="b">
        <f t="shared" ref="F356:G356" si="357">IF(ISNUMBER(SEARCH("Past Due",$A356)),TRUE,FALSE)</f>
        <v>0</v>
      </c>
      <c r="G356" s="3" t="b">
        <f t="shared" si="357"/>
        <v>0</v>
      </c>
      <c r="H356" s="2"/>
    </row>
    <row r="357" ht="15.75" customHeight="1">
      <c r="A357" s="2" t="s">
        <v>280</v>
      </c>
      <c r="B357" s="2" t="s">
        <v>280</v>
      </c>
      <c r="C357" s="2"/>
      <c r="D357" s="3" t="b">
        <f t="shared" si="2"/>
        <v>0</v>
      </c>
      <c r="E357" s="3" t="b">
        <f t="shared" si="3"/>
        <v>0</v>
      </c>
      <c r="F357" s="3" t="b">
        <f t="shared" ref="F357:G357" si="358">IF(ISNUMBER(SEARCH("Past Due",$A357)),TRUE,FALSE)</f>
        <v>0</v>
      </c>
      <c r="G357" s="3" t="b">
        <f t="shared" si="358"/>
        <v>0</v>
      </c>
      <c r="H357" s="2" t="s">
        <v>17</v>
      </c>
    </row>
    <row r="358" ht="15.75" customHeight="1">
      <c r="A358" s="2" t="s">
        <v>281</v>
      </c>
      <c r="B358" s="2" t="s">
        <v>281</v>
      </c>
      <c r="C358" s="3">
        <v>45417.0</v>
      </c>
      <c r="D358" s="3" t="b">
        <f t="shared" si="2"/>
        <v>0</v>
      </c>
      <c r="E358" s="3" t="b">
        <f t="shared" si="3"/>
        <v>0</v>
      </c>
      <c r="F358" s="3" t="b">
        <f t="shared" ref="F358:G358" si="359">IF(ISNUMBER(SEARCH("Past Due",$A358)),TRUE,FALSE)</f>
        <v>1</v>
      </c>
      <c r="G358" s="3" t="b">
        <f t="shared" si="359"/>
        <v>1</v>
      </c>
      <c r="H358" s="2" t="s">
        <v>15</v>
      </c>
    </row>
    <row r="359" ht="15.75" customHeight="1">
      <c r="A359" s="2" t="s">
        <v>282</v>
      </c>
      <c r="B359" s="2" t="s">
        <v>282</v>
      </c>
      <c r="C359" s="3">
        <v>45478.788402777776</v>
      </c>
      <c r="D359" s="3" t="b">
        <f t="shared" si="2"/>
        <v>0</v>
      </c>
      <c r="E359" s="3" t="b">
        <f t="shared" si="3"/>
        <v>1</v>
      </c>
      <c r="F359" s="3" t="b">
        <f t="shared" ref="F359:G359" si="360">IF(ISNUMBER(SEARCH("Past Due",$A359)),TRUE,FALSE)</f>
        <v>0</v>
      </c>
      <c r="G359" s="3" t="b">
        <f t="shared" si="360"/>
        <v>0</v>
      </c>
      <c r="H359" s="2"/>
    </row>
    <row r="360" ht="15.75" customHeight="1">
      <c r="A360" s="2" t="s">
        <v>283</v>
      </c>
      <c r="B360" s="2" t="s">
        <v>283</v>
      </c>
      <c r="C360" s="2"/>
      <c r="D360" s="3" t="b">
        <f t="shared" si="2"/>
        <v>0</v>
      </c>
      <c r="E360" s="3" t="b">
        <f t="shared" si="3"/>
        <v>0</v>
      </c>
      <c r="F360" s="3" t="b">
        <f t="shared" ref="F360:G360" si="361">IF(ISNUMBER(SEARCH("Past Due",$A360)),TRUE,FALSE)</f>
        <v>0</v>
      </c>
      <c r="G360" s="3" t="b">
        <f t="shared" si="361"/>
        <v>0</v>
      </c>
      <c r="H360" s="2" t="s">
        <v>11</v>
      </c>
    </row>
    <row r="361" ht="15.75" customHeight="1">
      <c r="A361" s="2" t="s">
        <v>284</v>
      </c>
      <c r="B361" s="2" t="s">
        <v>284</v>
      </c>
      <c r="C361" s="3">
        <v>45509.753854166665</v>
      </c>
      <c r="D361" s="3" t="b">
        <f t="shared" si="2"/>
        <v>1</v>
      </c>
      <c r="E361" s="3" t="b">
        <f t="shared" si="3"/>
        <v>0</v>
      </c>
      <c r="F361" s="3" t="b">
        <f t="shared" ref="F361:G361" si="362">IF(ISNUMBER(SEARCH("Past Due",$A361)),TRUE,FALSE)</f>
        <v>0</v>
      </c>
      <c r="G361" s="3" t="b">
        <f t="shared" si="362"/>
        <v>0</v>
      </c>
      <c r="H361" s="2"/>
    </row>
    <row r="362" ht="15.75" customHeight="1">
      <c r="A362" s="2" t="s">
        <v>285</v>
      </c>
      <c r="B362" s="2" t="s">
        <v>285</v>
      </c>
      <c r="C362" s="2"/>
      <c r="D362" s="3" t="b">
        <f t="shared" si="2"/>
        <v>0</v>
      </c>
      <c r="E362" s="3" t="b">
        <f t="shared" si="3"/>
        <v>0</v>
      </c>
      <c r="F362" s="3" t="b">
        <f t="shared" ref="F362:G362" si="363">IF(ISNUMBER(SEARCH("Past Due",$A362)),TRUE,FALSE)</f>
        <v>0</v>
      </c>
      <c r="G362" s="3" t="b">
        <f t="shared" si="363"/>
        <v>0</v>
      </c>
      <c r="H362" s="2" t="s">
        <v>11</v>
      </c>
    </row>
    <row r="363" ht="15.75" customHeight="1">
      <c r="A363" s="2" t="s">
        <v>286</v>
      </c>
      <c r="B363" s="2" t="s">
        <v>286</v>
      </c>
      <c r="C363" s="2"/>
      <c r="D363" s="3" t="b">
        <f t="shared" si="2"/>
        <v>0</v>
      </c>
      <c r="E363" s="3" t="b">
        <f t="shared" si="3"/>
        <v>0</v>
      </c>
      <c r="F363" s="3" t="b">
        <f t="shared" ref="F363:G363" si="364">IF(ISNUMBER(SEARCH("Past Due",$A363)),TRUE,FALSE)</f>
        <v>0</v>
      </c>
      <c r="G363" s="3" t="b">
        <f t="shared" si="364"/>
        <v>0</v>
      </c>
      <c r="H363" s="2" t="s">
        <v>17</v>
      </c>
    </row>
    <row r="364" ht="15.75" customHeight="1">
      <c r="A364" s="2" t="s">
        <v>287</v>
      </c>
      <c r="B364" s="2" t="s">
        <v>287</v>
      </c>
      <c r="C364" s="2"/>
      <c r="D364" s="3" t="b">
        <f t="shared" si="2"/>
        <v>0</v>
      </c>
      <c r="E364" s="3" t="b">
        <f t="shared" si="3"/>
        <v>0</v>
      </c>
      <c r="F364" s="3" t="b">
        <f t="shared" ref="F364:G364" si="365">IF(ISNUMBER(SEARCH("Past Due",$A364)),TRUE,FALSE)</f>
        <v>0</v>
      </c>
      <c r="G364" s="3" t="b">
        <f t="shared" si="365"/>
        <v>0</v>
      </c>
      <c r="H364" s="2"/>
    </row>
    <row r="365" ht="15.75" customHeight="1">
      <c r="A365" s="2" t="s">
        <v>287</v>
      </c>
      <c r="B365" s="2" t="s">
        <v>287</v>
      </c>
      <c r="C365" s="2"/>
      <c r="D365" s="3" t="b">
        <f t="shared" si="2"/>
        <v>0</v>
      </c>
      <c r="E365" s="3" t="b">
        <f t="shared" si="3"/>
        <v>0</v>
      </c>
      <c r="F365" s="3" t="b">
        <f t="shared" ref="F365:G365" si="366">IF(ISNUMBER(SEARCH("Past Due",$A365)),TRUE,FALSE)</f>
        <v>0</v>
      </c>
      <c r="G365" s="3" t="b">
        <f t="shared" si="366"/>
        <v>0</v>
      </c>
      <c r="H365" s="2"/>
    </row>
    <row r="366" ht="15.75" customHeight="1">
      <c r="A366" s="2" t="s">
        <v>287</v>
      </c>
      <c r="B366" s="2" t="s">
        <v>287</v>
      </c>
      <c r="C366" s="2"/>
      <c r="D366" s="3" t="b">
        <f t="shared" si="2"/>
        <v>0</v>
      </c>
      <c r="E366" s="3" t="b">
        <f t="shared" si="3"/>
        <v>0</v>
      </c>
      <c r="F366" s="3" t="b">
        <f t="shared" ref="F366:G366" si="367">IF(ISNUMBER(SEARCH("Past Due",$A366)),TRUE,FALSE)</f>
        <v>0</v>
      </c>
      <c r="G366" s="3" t="b">
        <f t="shared" si="367"/>
        <v>0</v>
      </c>
      <c r="H366" s="2"/>
    </row>
    <row r="367" ht="15.75" customHeight="1">
      <c r="A367" s="2" t="s">
        <v>287</v>
      </c>
      <c r="B367" s="2" t="s">
        <v>287</v>
      </c>
      <c r="C367" s="2"/>
      <c r="D367" s="3" t="b">
        <f t="shared" si="2"/>
        <v>0</v>
      </c>
      <c r="E367" s="3" t="b">
        <f t="shared" si="3"/>
        <v>0</v>
      </c>
      <c r="F367" s="3" t="b">
        <f t="shared" ref="F367:G367" si="368">IF(ISNUMBER(SEARCH("Past Due",$A367)),TRUE,FALSE)</f>
        <v>0</v>
      </c>
      <c r="G367" s="3" t="b">
        <f t="shared" si="368"/>
        <v>0</v>
      </c>
      <c r="H367" s="2"/>
    </row>
    <row r="368" ht="15.75" customHeight="1">
      <c r="A368" s="2" t="s">
        <v>287</v>
      </c>
      <c r="B368" s="2" t="s">
        <v>287</v>
      </c>
      <c r="C368" s="2"/>
      <c r="D368" s="3" t="b">
        <f t="shared" si="2"/>
        <v>0</v>
      </c>
      <c r="E368" s="3" t="b">
        <f t="shared" si="3"/>
        <v>0</v>
      </c>
      <c r="F368" s="3" t="b">
        <f t="shared" ref="F368:G368" si="369">IF(ISNUMBER(SEARCH("Past Due",$A368)),TRUE,FALSE)</f>
        <v>0</v>
      </c>
      <c r="G368" s="3" t="b">
        <f t="shared" si="369"/>
        <v>0</v>
      </c>
      <c r="H368" s="2"/>
    </row>
    <row r="369" ht="15.75" customHeight="1">
      <c r="A369" s="2" t="s">
        <v>287</v>
      </c>
      <c r="B369" s="2" t="s">
        <v>287</v>
      </c>
      <c r="C369" s="2"/>
      <c r="D369" s="3" t="b">
        <f t="shared" si="2"/>
        <v>0</v>
      </c>
      <c r="E369" s="3" t="b">
        <f t="shared" si="3"/>
        <v>0</v>
      </c>
      <c r="F369" s="3" t="b">
        <f t="shared" ref="F369:G369" si="370">IF(ISNUMBER(SEARCH("Past Due",$A369)),TRUE,FALSE)</f>
        <v>0</v>
      </c>
      <c r="G369" s="3" t="b">
        <f t="shared" si="370"/>
        <v>0</v>
      </c>
      <c r="H369" s="2"/>
    </row>
    <row r="370" ht="15.75" customHeight="1">
      <c r="A370" s="2" t="s">
        <v>287</v>
      </c>
      <c r="B370" s="2" t="s">
        <v>287</v>
      </c>
      <c r="C370" s="2"/>
      <c r="D370" s="3" t="b">
        <f t="shared" si="2"/>
        <v>0</v>
      </c>
      <c r="E370" s="3" t="b">
        <f t="shared" si="3"/>
        <v>0</v>
      </c>
      <c r="F370" s="3" t="b">
        <f t="shared" ref="F370:G370" si="371">IF(ISNUMBER(SEARCH("Past Due",$A370)),TRUE,FALSE)</f>
        <v>0</v>
      </c>
      <c r="G370" s="3" t="b">
        <f t="shared" si="371"/>
        <v>0</v>
      </c>
      <c r="H370" s="2"/>
    </row>
    <row r="371" ht="15.75" customHeight="1">
      <c r="A371" s="2" t="s">
        <v>287</v>
      </c>
      <c r="B371" s="2" t="s">
        <v>287</v>
      </c>
      <c r="C371" s="2"/>
      <c r="D371" s="3" t="b">
        <f t="shared" si="2"/>
        <v>0</v>
      </c>
      <c r="E371" s="3" t="b">
        <f t="shared" si="3"/>
        <v>0</v>
      </c>
      <c r="F371" s="3" t="b">
        <f t="shared" ref="F371:G371" si="372">IF(ISNUMBER(SEARCH("Past Due",$A371)),TRUE,FALSE)</f>
        <v>0</v>
      </c>
      <c r="G371" s="3" t="b">
        <f t="shared" si="372"/>
        <v>0</v>
      </c>
      <c r="H371" s="2"/>
    </row>
    <row r="372" ht="15.75" customHeight="1">
      <c r="A372" s="2" t="s">
        <v>288</v>
      </c>
      <c r="B372" s="2" t="s">
        <v>288</v>
      </c>
      <c r="C372" s="2"/>
      <c r="D372" s="3" t="b">
        <f t="shared" si="2"/>
        <v>0</v>
      </c>
      <c r="E372" s="3" t="b">
        <f t="shared" si="3"/>
        <v>0</v>
      </c>
      <c r="F372" s="3" t="b">
        <f t="shared" ref="F372:G372" si="373">IF(ISNUMBER(SEARCH("Past Due",$A372)),TRUE,FALSE)</f>
        <v>0</v>
      </c>
      <c r="G372" s="3" t="b">
        <f t="shared" si="373"/>
        <v>0</v>
      </c>
      <c r="H372" s="2"/>
    </row>
    <row r="373" ht="15.75" customHeight="1">
      <c r="A373" s="2" t="s">
        <v>288</v>
      </c>
      <c r="B373" s="2" t="s">
        <v>288</v>
      </c>
      <c r="C373" s="2"/>
      <c r="D373" s="3" t="b">
        <f t="shared" si="2"/>
        <v>0</v>
      </c>
      <c r="E373" s="3" t="b">
        <f t="shared" si="3"/>
        <v>0</v>
      </c>
      <c r="F373" s="3" t="b">
        <f t="shared" ref="F373:G373" si="374">IF(ISNUMBER(SEARCH("Past Due",$A373)),TRUE,FALSE)</f>
        <v>0</v>
      </c>
      <c r="G373" s="3" t="b">
        <f t="shared" si="374"/>
        <v>0</v>
      </c>
      <c r="H373" s="2"/>
    </row>
    <row r="374" ht="15.75" customHeight="1">
      <c r="A374" s="2" t="s">
        <v>288</v>
      </c>
      <c r="B374" s="2" t="s">
        <v>288</v>
      </c>
      <c r="C374" s="2"/>
      <c r="D374" s="3" t="b">
        <f t="shared" si="2"/>
        <v>0</v>
      </c>
      <c r="E374" s="3" t="b">
        <f t="shared" si="3"/>
        <v>0</v>
      </c>
      <c r="F374" s="3" t="b">
        <f t="shared" ref="F374:G374" si="375">IF(ISNUMBER(SEARCH("Past Due",$A374)),TRUE,FALSE)</f>
        <v>0</v>
      </c>
      <c r="G374" s="3" t="b">
        <f t="shared" si="375"/>
        <v>0</v>
      </c>
      <c r="H374" s="2"/>
    </row>
    <row r="375" ht="15.75" customHeight="1">
      <c r="A375" s="2" t="s">
        <v>288</v>
      </c>
      <c r="B375" s="2" t="s">
        <v>288</v>
      </c>
      <c r="C375" s="2"/>
      <c r="D375" s="3" t="b">
        <f t="shared" si="2"/>
        <v>0</v>
      </c>
      <c r="E375" s="3" t="b">
        <f t="shared" si="3"/>
        <v>0</v>
      </c>
      <c r="F375" s="3" t="b">
        <f t="shared" ref="F375:G375" si="376">IF(ISNUMBER(SEARCH("Past Due",$A375)),TRUE,FALSE)</f>
        <v>0</v>
      </c>
      <c r="G375" s="3" t="b">
        <f t="shared" si="376"/>
        <v>0</v>
      </c>
      <c r="H375" s="2"/>
    </row>
    <row r="376" ht="15.75" customHeight="1">
      <c r="A376" s="2" t="s">
        <v>288</v>
      </c>
      <c r="B376" s="2" t="s">
        <v>288</v>
      </c>
      <c r="C376" s="2"/>
      <c r="D376" s="3" t="b">
        <f t="shared" si="2"/>
        <v>0</v>
      </c>
      <c r="E376" s="3" t="b">
        <f t="shared" si="3"/>
        <v>0</v>
      </c>
      <c r="F376" s="3" t="b">
        <f t="shared" ref="F376:G376" si="377">IF(ISNUMBER(SEARCH("Past Due",$A376)),TRUE,FALSE)</f>
        <v>0</v>
      </c>
      <c r="G376" s="3" t="b">
        <f t="shared" si="377"/>
        <v>0</v>
      </c>
      <c r="H376" s="2"/>
    </row>
    <row r="377" ht="15.75" customHeight="1">
      <c r="A377" s="2" t="s">
        <v>288</v>
      </c>
      <c r="B377" s="2" t="s">
        <v>288</v>
      </c>
      <c r="C377" s="2"/>
      <c r="D377" s="3" t="b">
        <f t="shared" si="2"/>
        <v>0</v>
      </c>
      <c r="E377" s="3" t="b">
        <f t="shared" si="3"/>
        <v>0</v>
      </c>
      <c r="F377" s="3" t="b">
        <f t="shared" ref="F377:G377" si="378">IF(ISNUMBER(SEARCH("Past Due",$A377)),TRUE,FALSE)</f>
        <v>0</v>
      </c>
      <c r="G377" s="3" t="b">
        <f t="shared" si="378"/>
        <v>0</v>
      </c>
      <c r="H377" s="2"/>
    </row>
    <row r="378" ht="15.75" customHeight="1">
      <c r="A378" s="2" t="s">
        <v>288</v>
      </c>
      <c r="B378" s="2" t="s">
        <v>288</v>
      </c>
      <c r="C378" s="2"/>
      <c r="D378" s="3" t="b">
        <f t="shared" si="2"/>
        <v>0</v>
      </c>
      <c r="E378" s="3" t="b">
        <f t="shared" si="3"/>
        <v>0</v>
      </c>
      <c r="F378" s="3" t="b">
        <f t="shared" ref="F378:G378" si="379">IF(ISNUMBER(SEARCH("Past Due",$A378)),TRUE,FALSE)</f>
        <v>0</v>
      </c>
      <c r="G378" s="3" t="b">
        <f t="shared" si="379"/>
        <v>0</v>
      </c>
      <c r="H378" s="2"/>
    </row>
    <row r="379" ht="15.75" customHeight="1">
      <c r="A379" s="2" t="s">
        <v>288</v>
      </c>
      <c r="B379" s="2" t="s">
        <v>288</v>
      </c>
      <c r="C379" s="2"/>
      <c r="D379" s="3" t="b">
        <f t="shared" si="2"/>
        <v>0</v>
      </c>
      <c r="E379" s="3" t="b">
        <f t="shared" si="3"/>
        <v>0</v>
      </c>
      <c r="F379" s="3" t="b">
        <f t="shared" ref="F379:G379" si="380">IF(ISNUMBER(SEARCH("Past Due",$A379)),TRUE,FALSE)</f>
        <v>0</v>
      </c>
      <c r="G379" s="3" t="b">
        <f t="shared" si="380"/>
        <v>0</v>
      </c>
      <c r="H379" s="2"/>
    </row>
    <row r="380" ht="15.75" customHeight="1">
      <c r="A380" s="2" t="s">
        <v>288</v>
      </c>
      <c r="B380" s="2" t="s">
        <v>288</v>
      </c>
      <c r="C380" s="2"/>
      <c r="D380" s="3" t="b">
        <f t="shared" si="2"/>
        <v>0</v>
      </c>
      <c r="E380" s="3" t="b">
        <f t="shared" si="3"/>
        <v>0</v>
      </c>
      <c r="F380" s="3" t="b">
        <f t="shared" ref="F380:G380" si="381">IF(ISNUMBER(SEARCH("Past Due",$A380)),TRUE,FALSE)</f>
        <v>0</v>
      </c>
      <c r="G380" s="3" t="b">
        <f t="shared" si="381"/>
        <v>0</v>
      </c>
      <c r="H380" s="2"/>
    </row>
    <row r="381" ht="15.75" customHeight="1">
      <c r="A381" s="2" t="s">
        <v>288</v>
      </c>
      <c r="B381" s="2" t="s">
        <v>288</v>
      </c>
      <c r="C381" s="2"/>
      <c r="D381" s="3" t="b">
        <f t="shared" si="2"/>
        <v>0</v>
      </c>
      <c r="E381" s="3" t="b">
        <f t="shared" si="3"/>
        <v>0</v>
      </c>
      <c r="F381" s="3" t="b">
        <f t="shared" ref="F381:G381" si="382">IF(ISNUMBER(SEARCH("Past Due",$A381)),TRUE,FALSE)</f>
        <v>0</v>
      </c>
      <c r="G381" s="3" t="b">
        <f t="shared" si="382"/>
        <v>0</v>
      </c>
      <c r="H381" s="2"/>
    </row>
    <row r="382" ht="15.75" customHeight="1">
      <c r="A382" s="2" t="s">
        <v>289</v>
      </c>
      <c r="B382" s="2" t="s">
        <v>289</v>
      </c>
      <c r="C382" s="2"/>
      <c r="D382" s="3" t="b">
        <f t="shared" si="2"/>
        <v>0</v>
      </c>
      <c r="E382" s="3" t="b">
        <f t="shared" si="3"/>
        <v>0</v>
      </c>
      <c r="F382" s="3" t="b">
        <f t="shared" ref="F382:G382" si="383">IF(ISNUMBER(SEARCH("Past Due",$A382)),TRUE,FALSE)</f>
        <v>0</v>
      </c>
      <c r="G382" s="3" t="b">
        <f t="shared" si="383"/>
        <v>0</v>
      </c>
      <c r="H382" s="2" t="s">
        <v>11</v>
      </c>
    </row>
    <row r="383" ht="15.75" customHeight="1">
      <c r="A383" s="2" t="s">
        <v>290</v>
      </c>
      <c r="B383" s="2" t="s">
        <v>290</v>
      </c>
      <c r="C383" s="2"/>
      <c r="D383" s="3" t="b">
        <f t="shared" si="2"/>
        <v>0</v>
      </c>
      <c r="E383" s="3" t="b">
        <f t="shared" si="3"/>
        <v>0</v>
      </c>
      <c r="F383" s="3" t="b">
        <f t="shared" ref="F383:G383" si="384">IF(ISNUMBER(SEARCH("Past Due",$A383)),TRUE,FALSE)</f>
        <v>0</v>
      </c>
      <c r="G383" s="3" t="b">
        <f t="shared" si="384"/>
        <v>0</v>
      </c>
      <c r="H383" s="2" t="s">
        <v>17</v>
      </c>
    </row>
    <row r="384" ht="15.75" customHeight="1">
      <c r="A384" s="2" t="s">
        <v>291</v>
      </c>
      <c r="B384" s="2" t="s">
        <v>291</v>
      </c>
      <c r="C384" s="3">
        <v>45570.77857638889</v>
      </c>
      <c r="D384" s="3" t="b">
        <f t="shared" si="2"/>
        <v>0</v>
      </c>
      <c r="E384" s="3" t="b">
        <f t="shared" si="3"/>
        <v>0</v>
      </c>
      <c r="F384" s="3" t="b">
        <f t="shared" ref="F384:G384" si="385">IF(ISNUMBER(SEARCH("Past Due",$A384)),TRUE,FALSE)</f>
        <v>0</v>
      </c>
      <c r="G384" s="3" t="b">
        <f t="shared" si="385"/>
        <v>0</v>
      </c>
      <c r="H384" s="2"/>
    </row>
    <row r="385" ht="15.75" customHeight="1">
      <c r="A385" s="2" t="s">
        <v>292</v>
      </c>
      <c r="B385" s="2" t="s">
        <v>292</v>
      </c>
      <c r="C385" s="2"/>
      <c r="D385" s="3" t="b">
        <f t="shared" si="2"/>
        <v>0</v>
      </c>
      <c r="E385" s="3" t="b">
        <f t="shared" si="3"/>
        <v>0</v>
      </c>
      <c r="F385" s="3" t="b">
        <f t="shared" ref="F385:G385" si="386">IF(ISNUMBER(SEARCH("Past Due",$A385)),TRUE,FALSE)</f>
        <v>0</v>
      </c>
      <c r="G385" s="3" t="b">
        <f t="shared" si="386"/>
        <v>0</v>
      </c>
      <c r="H385" s="2"/>
    </row>
    <row r="386" ht="15.75" customHeight="1">
      <c r="A386" s="2" t="s">
        <v>293</v>
      </c>
      <c r="B386" s="2" t="s">
        <v>293</v>
      </c>
      <c r="C386" s="2"/>
      <c r="D386" s="3" t="b">
        <f t="shared" si="2"/>
        <v>0</v>
      </c>
      <c r="E386" s="3" t="b">
        <f t="shared" si="3"/>
        <v>0</v>
      </c>
      <c r="F386" s="3" t="b">
        <f t="shared" ref="F386:G386" si="387">IF(ISNUMBER(SEARCH("Past Due",$A386)),TRUE,FALSE)</f>
        <v>0</v>
      </c>
      <c r="G386" s="3" t="b">
        <f t="shared" si="387"/>
        <v>0</v>
      </c>
      <c r="H386" s="2"/>
    </row>
    <row r="387" ht="15.75" customHeight="1">
      <c r="A387" s="2" t="s">
        <v>293</v>
      </c>
      <c r="B387" s="2" t="s">
        <v>293</v>
      </c>
      <c r="C387" s="2"/>
      <c r="D387" s="3" t="b">
        <f t="shared" si="2"/>
        <v>0</v>
      </c>
      <c r="E387" s="3" t="b">
        <f t="shared" si="3"/>
        <v>0</v>
      </c>
      <c r="F387" s="3" t="b">
        <f t="shared" ref="F387:G387" si="388">IF(ISNUMBER(SEARCH("Past Due",$A387)),TRUE,FALSE)</f>
        <v>0</v>
      </c>
      <c r="G387" s="3" t="b">
        <f t="shared" si="388"/>
        <v>0</v>
      </c>
      <c r="H387" s="2"/>
    </row>
    <row r="388" ht="15.75" customHeight="1">
      <c r="A388" s="2" t="s">
        <v>294</v>
      </c>
      <c r="B388" s="2" t="s">
        <v>294</v>
      </c>
      <c r="C388" s="2"/>
      <c r="D388" s="3" t="b">
        <f t="shared" si="2"/>
        <v>0</v>
      </c>
      <c r="E388" s="3" t="b">
        <f t="shared" si="3"/>
        <v>0</v>
      </c>
      <c r="F388" s="3" t="b">
        <f t="shared" ref="F388:G388" si="389">IF(ISNUMBER(SEARCH("Past Due",$A388)),TRUE,FALSE)</f>
        <v>0</v>
      </c>
      <c r="G388" s="3" t="b">
        <f t="shared" si="389"/>
        <v>0</v>
      </c>
      <c r="H388" s="2"/>
    </row>
    <row r="389" ht="15.75" customHeight="1">
      <c r="A389" s="2" t="s">
        <v>294</v>
      </c>
      <c r="B389" s="2" t="s">
        <v>294</v>
      </c>
      <c r="C389" s="2"/>
      <c r="D389" s="3" t="b">
        <f t="shared" si="2"/>
        <v>0</v>
      </c>
      <c r="E389" s="3" t="b">
        <f t="shared" si="3"/>
        <v>0</v>
      </c>
      <c r="F389" s="3" t="b">
        <f t="shared" ref="F389:G389" si="390">IF(ISNUMBER(SEARCH("Past Due",$A389)),TRUE,FALSE)</f>
        <v>0</v>
      </c>
      <c r="G389" s="3" t="b">
        <f t="shared" si="390"/>
        <v>0</v>
      </c>
      <c r="H389" s="2"/>
    </row>
    <row r="390" ht="15.75" customHeight="1">
      <c r="A390" s="2" t="s">
        <v>294</v>
      </c>
      <c r="B390" s="2" t="s">
        <v>294</v>
      </c>
      <c r="C390" s="2"/>
      <c r="D390" s="3" t="b">
        <f t="shared" si="2"/>
        <v>0</v>
      </c>
      <c r="E390" s="3" t="b">
        <f t="shared" si="3"/>
        <v>0</v>
      </c>
      <c r="F390" s="3" t="b">
        <f t="shared" ref="F390:G390" si="391">IF(ISNUMBER(SEARCH("Past Due",$A390)),TRUE,FALSE)</f>
        <v>0</v>
      </c>
      <c r="G390" s="3" t="b">
        <f t="shared" si="391"/>
        <v>0</v>
      </c>
      <c r="H390" s="2"/>
    </row>
    <row r="391" ht="15.75" customHeight="1">
      <c r="A391" s="2" t="s">
        <v>294</v>
      </c>
      <c r="B391" s="2" t="s">
        <v>294</v>
      </c>
      <c r="C391" s="2"/>
      <c r="D391" s="3" t="b">
        <f t="shared" si="2"/>
        <v>0</v>
      </c>
      <c r="E391" s="3" t="b">
        <f t="shared" si="3"/>
        <v>0</v>
      </c>
      <c r="F391" s="3" t="b">
        <f t="shared" ref="F391:G391" si="392">IF(ISNUMBER(SEARCH("Past Due",$A391)),TRUE,FALSE)</f>
        <v>0</v>
      </c>
      <c r="G391" s="3" t="b">
        <f t="shared" si="392"/>
        <v>0</v>
      </c>
      <c r="H391" s="2"/>
    </row>
    <row r="392" ht="15.75" customHeight="1">
      <c r="A392" s="2" t="s">
        <v>295</v>
      </c>
      <c r="B392" s="2" t="s">
        <v>295</v>
      </c>
      <c r="C392" s="2"/>
      <c r="D392" s="3" t="b">
        <f t="shared" si="2"/>
        <v>0</v>
      </c>
      <c r="E392" s="3" t="b">
        <f t="shared" si="3"/>
        <v>0</v>
      </c>
      <c r="F392" s="3" t="b">
        <f t="shared" ref="F392:G392" si="393">IF(ISNUMBER(SEARCH("Past Due",$A392)),TRUE,FALSE)</f>
        <v>0</v>
      </c>
      <c r="G392" s="3" t="b">
        <f t="shared" si="393"/>
        <v>0</v>
      </c>
      <c r="H392" s="2" t="s">
        <v>17</v>
      </c>
    </row>
    <row r="393" ht="15.75" customHeight="1">
      <c r="A393" s="2" t="s">
        <v>296</v>
      </c>
      <c r="B393" s="2" t="s">
        <v>296</v>
      </c>
      <c r="C393" s="3">
        <v>45540.781273148146</v>
      </c>
      <c r="D393" s="3" t="b">
        <f t="shared" si="2"/>
        <v>1</v>
      </c>
      <c r="E393" s="3" t="b">
        <f t="shared" si="3"/>
        <v>0</v>
      </c>
      <c r="F393" s="3" t="b">
        <f t="shared" ref="F393:G393" si="394">IF(ISNUMBER(SEARCH("Past Due",$A393)),TRUE,FALSE)</f>
        <v>0</v>
      </c>
      <c r="G393" s="3" t="b">
        <f t="shared" si="394"/>
        <v>0</v>
      </c>
      <c r="H393" s="2"/>
    </row>
    <row r="394" ht="15.75" customHeight="1">
      <c r="A394" s="2" t="s">
        <v>297</v>
      </c>
      <c r="B394" s="2" t="s">
        <v>297</v>
      </c>
      <c r="C394" s="3">
        <v>45448.793900462966</v>
      </c>
      <c r="D394" s="3" t="b">
        <f t="shared" si="2"/>
        <v>0</v>
      </c>
      <c r="E394" s="3" t="b">
        <f t="shared" si="3"/>
        <v>1</v>
      </c>
      <c r="F394" s="3" t="b">
        <f t="shared" ref="F394:G394" si="395">IF(ISNUMBER(SEARCH("Past Due",$A394)),TRUE,FALSE)</f>
        <v>0</v>
      </c>
      <c r="G394" s="3" t="b">
        <f t="shared" si="395"/>
        <v>0</v>
      </c>
      <c r="H394" s="2"/>
    </row>
    <row r="395" ht="15.75" customHeight="1">
      <c r="A395" s="2" t="s">
        <v>298</v>
      </c>
      <c r="B395" s="2" t="s">
        <v>298</v>
      </c>
      <c r="C395" s="3">
        <v>45570.766550925924</v>
      </c>
      <c r="D395" s="3" t="b">
        <f t="shared" si="2"/>
        <v>0</v>
      </c>
      <c r="E395" s="3" t="b">
        <f t="shared" si="3"/>
        <v>0</v>
      </c>
      <c r="F395" s="3" t="b">
        <f t="shared" ref="F395:G395" si="396">IF(ISNUMBER(SEARCH("Past Due",$A395)),TRUE,FALSE)</f>
        <v>0</v>
      </c>
      <c r="G395" s="3" t="b">
        <f t="shared" si="396"/>
        <v>0</v>
      </c>
      <c r="H395" s="2"/>
    </row>
    <row r="396" ht="15.75" customHeight="1">
      <c r="A396" s="2" t="s">
        <v>299</v>
      </c>
      <c r="B396" s="2" t="s">
        <v>299</v>
      </c>
      <c r="C396" s="2"/>
      <c r="D396" s="3" t="b">
        <f t="shared" si="2"/>
        <v>0</v>
      </c>
      <c r="E396" s="3" t="b">
        <f t="shared" si="3"/>
        <v>0</v>
      </c>
      <c r="F396" s="3" t="b">
        <f t="shared" ref="F396:G396" si="397">IF(ISNUMBER(SEARCH("Past Due",$A396)),TRUE,FALSE)</f>
        <v>0</v>
      </c>
      <c r="G396" s="3" t="b">
        <f t="shared" si="397"/>
        <v>0</v>
      </c>
      <c r="H396" s="2" t="s">
        <v>17</v>
      </c>
    </row>
    <row r="397" ht="15.75" customHeight="1">
      <c r="A397" s="2" t="s">
        <v>299</v>
      </c>
      <c r="B397" s="2" t="s">
        <v>299</v>
      </c>
      <c r="C397" s="2"/>
      <c r="D397" s="3" t="b">
        <f t="shared" si="2"/>
        <v>0</v>
      </c>
      <c r="E397" s="3" t="b">
        <f t="shared" si="3"/>
        <v>0</v>
      </c>
      <c r="F397" s="3" t="b">
        <f t="shared" ref="F397:G397" si="398">IF(ISNUMBER(SEARCH("Past Due",$A397)),TRUE,FALSE)</f>
        <v>0</v>
      </c>
      <c r="G397" s="3" t="b">
        <f t="shared" si="398"/>
        <v>0</v>
      </c>
      <c r="H397" s="2" t="s">
        <v>17</v>
      </c>
    </row>
    <row r="398" ht="15.75" customHeight="1">
      <c r="A398" s="2" t="s">
        <v>300</v>
      </c>
      <c r="B398" s="2" t="s">
        <v>300</v>
      </c>
      <c r="C398" s="3">
        <v>45540.781319444446</v>
      </c>
      <c r="D398" s="3" t="b">
        <f t="shared" si="2"/>
        <v>1</v>
      </c>
      <c r="E398" s="3" t="b">
        <f t="shared" si="3"/>
        <v>0</v>
      </c>
      <c r="F398" s="3" t="b">
        <f t="shared" ref="F398:G398" si="399">IF(ISNUMBER(SEARCH("Past Due",$A398)),TRUE,FALSE)</f>
        <v>0</v>
      </c>
      <c r="G398" s="3" t="b">
        <f t="shared" si="399"/>
        <v>0</v>
      </c>
      <c r="H398" s="2"/>
    </row>
    <row r="399" ht="15.75" customHeight="1">
      <c r="A399" s="2" t="s">
        <v>301</v>
      </c>
      <c r="B399" s="2" t="s">
        <v>301</v>
      </c>
      <c r="C399" s="3">
        <v>45448.794340277775</v>
      </c>
      <c r="D399" s="3" t="b">
        <f t="shared" si="2"/>
        <v>0</v>
      </c>
      <c r="E399" s="3" t="b">
        <f t="shared" si="3"/>
        <v>1</v>
      </c>
      <c r="F399" s="3" t="b">
        <f t="shared" ref="F399:G399" si="400">IF(ISNUMBER(SEARCH("Past Due",$A399)),TRUE,FALSE)</f>
        <v>0</v>
      </c>
      <c r="G399" s="3" t="b">
        <f t="shared" si="400"/>
        <v>0</v>
      </c>
      <c r="H399" s="2"/>
    </row>
    <row r="400" ht="15.75" customHeight="1">
      <c r="A400" s="2" t="s">
        <v>302</v>
      </c>
      <c r="B400" s="2" t="s">
        <v>302</v>
      </c>
      <c r="C400" s="2"/>
      <c r="D400" s="3" t="b">
        <f t="shared" si="2"/>
        <v>0</v>
      </c>
      <c r="E400" s="3" t="b">
        <f t="shared" si="3"/>
        <v>0</v>
      </c>
      <c r="F400" s="3" t="b">
        <f t="shared" ref="F400:G400" si="401">IF(ISNUMBER(SEARCH("Past Due",$A400)),TRUE,FALSE)</f>
        <v>0</v>
      </c>
      <c r="G400" s="3" t="b">
        <f t="shared" si="401"/>
        <v>0</v>
      </c>
      <c r="H400" s="2" t="s">
        <v>11</v>
      </c>
    </row>
    <row r="401" ht="15.75" customHeight="1">
      <c r="A401" s="2" t="s">
        <v>302</v>
      </c>
      <c r="B401" s="2" t="s">
        <v>302</v>
      </c>
      <c r="C401" s="2"/>
      <c r="D401" s="3" t="b">
        <f t="shared" si="2"/>
        <v>0</v>
      </c>
      <c r="E401" s="3" t="b">
        <f t="shared" si="3"/>
        <v>0</v>
      </c>
      <c r="F401" s="3" t="b">
        <f t="shared" ref="F401:G401" si="402">IF(ISNUMBER(SEARCH("Past Due",$A401)),TRUE,FALSE)</f>
        <v>0</v>
      </c>
      <c r="G401" s="3" t="b">
        <f t="shared" si="402"/>
        <v>0</v>
      </c>
      <c r="H401" s="2" t="s">
        <v>11</v>
      </c>
    </row>
    <row r="402" ht="15.75" customHeight="1">
      <c r="A402" s="2" t="s">
        <v>302</v>
      </c>
      <c r="B402" s="2" t="s">
        <v>302</v>
      </c>
      <c r="C402" s="2"/>
      <c r="D402" s="3" t="b">
        <f t="shared" si="2"/>
        <v>0</v>
      </c>
      <c r="E402" s="3" t="b">
        <f t="shared" si="3"/>
        <v>0</v>
      </c>
      <c r="F402" s="3" t="b">
        <f t="shared" ref="F402:G402" si="403">IF(ISNUMBER(SEARCH("Past Due",$A402)),TRUE,FALSE)</f>
        <v>0</v>
      </c>
      <c r="G402" s="3" t="b">
        <f t="shared" si="403"/>
        <v>0</v>
      </c>
      <c r="H402" s="2" t="s">
        <v>15</v>
      </c>
    </row>
    <row r="403" ht="15.75" customHeight="1">
      <c r="A403" s="2" t="s">
        <v>302</v>
      </c>
      <c r="B403" s="2" t="s">
        <v>302</v>
      </c>
      <c r="C403" s="2"/>
      <c r="D403" s="3" t="b">
        <f t="shared" si="2"/>
        <v>0</v>
      </c>
      <c r="E403" s="3" t="b">
        <f t="shared" si="3"/>
        <v>0</v>
      </c>
      <c r="F403" s="3" t="b">
        <f t="shared" ref="F403:G403" si="404">IF(ISNUMBER(SEARCH("Past Due",$A403)),TRUE,FALSE)</f>
        <v>0</v>
      </c>
      <c r="G403" s="3" t="b">
        <f t="shared" si="404"/>
        <v>0</v>
      </c>
      <c r="H403" s="2" t="s">
        <v>15</v>
      </c>
    </row>
    <row r="404" ht="15.75" customHeight="1">
      <c r="A404" s="2" t="s">
        <v>303</v>
      </c>
      <c r="B404" s="2" t="s">
        <v>303</v>
      </c>
      <c r="C404" s="3">
        <v>45417.0</v>
      </c>
      <c r="D404" s="3" t="b">
        <f t="shared" si="2"/>
        <v>0</v>
      </c>
      <c r="E404" s="3" t="b">
        <f t="shared" si="3"/>
        <v>0</v>
      </c>
      <c r="F404" s="3" t="b">
        <f t="shared" ref="F404:G404" si="405">IF(ISNUMBER(SEARCH("Past Due",$A404)),TRUE,FALSE)</f>
        <v>0</v>
      </c>
      <c r="G404" s="3" t="b">
        <f t="shared" si="405"/>
        <v>0</v>
      </c>
      <c r="H404" s="2"/>
    </row>
    <row r="405" ht="15.75" customHeight="1">
      <c r="A405" s="2" t="s">
        <v>304</v>
      </c>
      <c r="B405" s="2" t="s">
        <v>304</v>
      </c>
      <c r="C405" s="3">
        <v>45448.82449074074</v>
      </c>
      <c r="D405" s="3" t="b">
        <f t="shared" si="2"/>
        <v>0</v>
      </c>
      <c r="E405" s="3" t="b">
        <f t="shared" si="3"/>
        <v>0</v>
      </c>
      <c r="F405" s="3" t="b">
        <f t="shared" ref="F405:G405" si="406">IF(ISNUMBER(SEARCH("Past Due",$A405)),TRUE,FALSE)</f>
        <v>1</v>
      </c>
      <c r="G405" s="3" t="b">
        <f t="shared" si="406"/>
        <v>1</v>
      </c>
      <c r="H405" s="2" t="s">
        <v>15</v>
      </c>
    </row>
    <row r="406" ht="15.75" customHeight="1">
      <c r="A406" s="2" t="s">
        <v>305</v>
      </c>
      <c r="B406" s="2" t="s">
        <v>305</v>
      </c>
      <c r="C406" s="3">
        <v>45601.76358796296</v>
      </c>
      <c r="D406" s="3" t="b">
        <f t="shared" si="2"/>
        <v>1</v>
      </c>
      <c r="E406" s="3" t="b">
        <f t="shared" si="3"/>
        <v>0</v>
      </c>
      <c r="F406" s="3" t="b">
        <f t="shared" ref="F406:G406" si="407">IF(ISNUMBER(SEARCH("Past Due",$A406)),TRUE,FALSE)</f>
        <v>0</v>
      </c>
      <c r="G406" s="3" t="b">
        <f t="shared" si="407"/>
        <v>0</v>
      </c>
      <c r="H406" s="2"/>
    </row>
    <row r="407" ht="15.75" customHeight="1">
      <c r="A407" s="2" t="s">
        <v>306</v>
      </c>
      <c r="B407" s="2" t="s">
        <v>306</v>
      </c>
      <c r="C407" s="3">
        <v>45509.79177083333</v>
      </c>
      <c r="D407" s="3" t="b">
        <f t="shared" si="2"/>
        <v>0</v>
      </c>
      <c r="E407" s="3" t="b">
        <f t="shared" si="3"/>
        <v>1</v>
      </c>
      <c r="F407" s="3" t="b">
        <f t="shared" ref="F407:G407" si="408">IF(ISNUMBER(SEARCH("Past Due",$A407)),TRUE,FALSE)</f>
        <v>0</v>
      </c>
      <c r="G407" s="3" t="b">
        <f t="shared" si="408"/>
        <v>0</v>
      </c>
      <c r="H407" s="2"/>
    </row>
    <row r="408" ht="15.75" customHeight="1">
      <c r="A408" s="2" t="s">
        <v>307</v>
      </c>
      <c r="B408" s="2" t="s">
        <v>307</v>
      </c>
      <c r="C408" s="3">
        <v>45448.77491898148</v>
      </c>
      <c r="D408" s="3" t="b">
        <f t="shared" si="2"/>
        <v>0</v>
      </c>
      <c r="E408" s="3" t="b">
        <f t="shared" si="3"/>
        <v>0</v>
      </c>
      <c r="F408" s="3" t="b">
        <f t="shared" ref="F408:G408" si="409">IF(ISNUMBER(SEARCH("Past Due",$A408)),TRUE,FALSE)</f>
        <v>0</v>
      </c>
      <c r="G408" s="3" t="b">
        <f t="shared" si="409"/>
        <v>0</v>
      </c>
      <c r="H408" s="2"/>
    </row>
    <row r="409" ht="15.75" customHeight="1">
      <c r="A409" s="2" t="s">
        <v>308</v>
      </c>
      <c r="B409" s="2" t="s">
        <v>308</v>
      </c>
      <c r="C409" s="2"/>
      <c r="D409" s="3" t="b">
        <f t="shared" si="2"/>
        <v>0</v>
      </c>
      <c r="E409" s="3" t="b">
        <f t="shared" si="3"/>
        <v>0</v>
      </c>
      <c r="F409" s="3" t="b">
        <f t="shared" ref="F409:G409" si="410">IF(ISNUMBER(SEARCH("Past Due",$A409)),TRUE,FALSE)</f>
        <v>0</v>
      </c>
      <c r="G409" s="3" t="b">
        <f t="shared" si="410"/>
        <v>0</v>
      </c>
      <c r="H409" s="2" t="s">
        <v>11</v>
      </c>
    </row>
    <row r="410" ht="15.75" customHeight="1">
      <c r="A410" s="2" t="s">
        <v>308</v>
      </c>
      <c r="B410" s="2" t="s">
        <v>308</v>
      </c>
      <c r="C410" s="2"/>
      <c r="D410" s="3" t="b">
        <f t="shared" si="2"/>
        <v>0</v>
      </c>
      <c r="E410" s="3" t="b">
        <f t="shared" si="3"/>
        <v>0</v>
      </c>
      <c r="F410" s="3" t="b">
        <f t="shared" ref="F410:G410" si="411">IF(ISNUMBER(SEARCH("Past Due",$A410)),TRUE,FALSE)</f>
        <v>0</v>
      </c>
      <c r="G410" s="3" t="b">
        <f t="shared" si="411"/>
        <v>0</v>
      </c>
      <c r="H410" s="2" t="s">
        <v>11</v>
      </c>
    </row>
    <row r="411" ht="15.75" customHeight="1">
      <c r="A411" s="2" t="s">
        <v>308</v>
      </c>
      <c r="B411" s="2" t="s">
        <v>308</v>
      </c>
      <c r="C411" s="2"/>
      <c r="D411" s="3" t="b">
        <f t="shared" si="2"/>
        <v>0</v>
      </c>
      <c r="E411" s="3" t="b">
        <f t="shared" si="3"/>
        <v>0</v>
      </c>
      <c r="F411" s="3" t="b">
        <f t="shared" ref="F411:G411" si="412">IF(ISNUMBER(SEARCH("Past Due",$A411)),TRUE,FALSE)</f>
        <v>0</v>
      </c>
      <c r="G411" s="3" t="b">
        <f t="shared" si="412"/>
        <v>0</v>
      </c>
      <c r="H411" s="2" t="s">
        <v>11</v>
      </c>
    </row>
    <row r="412" ht="15.75" customHeight="1">
      <c r="A412" s="2" t="s">
        <v>308</v>
      </c>
      <c r="B412" s="2" t="s">
        <v>308</v>
      </c>
      <c r="C412" s="2"/>
      <c r="D412" s="3" t="b">
        <f t="shared" si="2"/>
        <v>0</v>
      </c>
      <c r="E412" s="3" t="b">
        <f t="shared" si="3"/>
        <v>0</v>
      </c>
      <c r="F412" s="3" t="b">
        <f t="shared" ref="F412:G412" si="413">IF(ISNUMBER(SEARCH("Past Due",$A412)),TRUE,FALSE)</f>
        <v>0</v>
      </c>
      <c r="G412" s="3" t="b">
        <f t="shared" si="413"/>
        <v>0</v>
      </c>
      <c r="H412" s="2" t="s">
        <v>15</v>
      </c>
    </row>
    <row r="413" ht="15.75" customHeight="1">
      <c r="A413" s="2" t="s">
        <v>309</v>
      </c>
      <c r="B413" s="2" t="s">
        <v>309</v>
      </c>
      <c r="C413" s="3">
        <v>45448.750613425924</v>
      </c>
      <c r="D413" s="3" t="b">
        <f t="shared" si="2"/>
        <v>0</v>
      </c>
      <c r="E413" s="3" t="b">
        <f t="shared" si="3"/>
        <v>0</v>
      </c>
      <c r="F413" s="3" t="b">
        <f t="shared" ref="F413:G413" si="414">IF(ISNUMBER(SEARCH("Past Due",$A413)),TRUE,FALSE)</f>
        <v>0</v>
      </c>
      <c r="G413" s="3" t="b">
        <f t="shared" si="414"/>
        <v>0</v>
      </c>
      <c r="H413" s="2"/>
    </row>
    <row r="414" ht="15.75" customHeight="1">
      <c r="A414" s="2" t="s">
        <v>309</v>
      </c>
      <c r="B414" s="2" t="s">
        <v>309</v>
      </c>
      <c r="C414" s="3">
        <v>45509.93292824074</v>
      </c>
      <c r="D414" s="3" t="b">
        <f t="shared" si="2"/>
        <v>0</v>
      </c>
      <c r="E414" s="3" t="b">
        <f t="shared" si="3"/>
        <v>0</v>
      </c>
      <c r="F414" s="3" t="b">
        <f t="shared" ref="F414:G414" si="415">IF(ISNUMBER(SEARCH("Past Due",$A414)),TRUE,FALSE)</f>
        <v>0</v>
      </c>
      <c r="G414" s="3" t="b">
        <f t="shared" si="415"/>
        <v>0</v>
      </c>
      <c r="H414" s="2"/>
    </row>
    <row r="415" ht="15.75" customHeight="1">
      <c r="A415" s="2" t="s">
        <v>310</v>
      </c>
      <c r="B415" s="2" t="s">
        <v>310</v>
      </c>
      <c r="C415" s="3">
        <v>45540.839537037034</v>
      </c>
      <c r="D415" s="3" t="b">
        <f t="shared" si="2"/>
        <v>0</v>
      </c>
      <c r="E415" s="3" t="b">
        <f t="shared" si="3"/>
        <v>0</v>
      </c>
      <c r="F415" s="3" t="b">
        <f t="shared" ref="F415:G415" si="416">IF(ISNUMBER(SEARCH("Past Due",$A415)),TRUE,FALSE)</f>
        <v>1</v>
      </c>
      <c r="G415" s="3" t="b">
        <f t="shared" si="416"/>
        <v>1</v>
      </c>
      <c r="H415" s="2" t="s">
        <v>15</v>
      </c>
    </row>
    <row r="416" ht="15.75" customHeight="1">
      <c r="A416" s="2" t="s">
        <v>311</v>
      </c>
      <c r="B416" s="2" t="s">
        <v>311</v>
      </c>
      <c r="C416" s="3">
        <v>45601.778449074074</v>
      </c>
      <c r="D416" s="3" t="b">
        <f t="shared" si="2"/>
        <v>0</v>
      </c>
      <c r="E416" s="3" t="b">
        <f t="shared" si="3"/>
        <v>1</v>
      </c>
      <c r="F416" s="3" t="b">
        <f t="shared" ref="F416:G416" si="417">IF(ISNUMBER(SEARCH("Past Due",$A416)),TRUE,FALSE)</f>
        <v>0</v>
      </c>
      <c r="G416" s="3" t="b">
        <f t="shared" si="417"/>
        <v>0</v>
      </c>
      <c r="H416" s="2"/>
    </row>
    <row r="417" ht="15.75" customHeight="1">
      <c r="A417" s="2" t="s">
        <v>312</v>
      </c>
      <c r="B417" s="2" t="s">
        <v>312</v>
      </c>
      <c r="C417" s="2"/>
      <c r="D417" s="3" t="b">
        <f t="shared" si="2"/>
        <v>0</v>
      </c>
      <c r="E417" s="3" t="b">
        <f t="shared" si="3"/>
        <v>0</v>
      </c>
      <c r="F417" s="3" t="b">
        <f t="shared" ref="F417:G417" si="418">IF(ISNUMBER(SEARCH("Past Due",$A417)),TRUE,FALSE)</f>
        <v>0</v>
      </c>
      <c r="G417" s="3" t="b">
        <f t="shared" si="418"/>
        <v>0</v>
      </c>
      <c r="H417" s="2" t="s">
        <v>11</v>
      </c>
    </row>
    <row r="418" ht="15.75" customHeight="1">
      <c r="A418" s="2" t="s">
        <v>312</v>
      </c>
      <c r="B418" s="2" t="s">
        <v>312</v>
      </c>
      <c r="C418" s="2"/>
      <c r="D418" s="3" t="b">
        <f t="shared" si="2"/>
        <v>0</v>
      </c>
      <c r="E418" s="3" t="b">
        <f t="shared" si="3"/>
        <v>0</v>
      </c>
      <c r="F418" s="3" t="b">
        <f t="shared" ref="F418:G418" si="419">IF(ISNUMBER(SEARCH("Past Due",$A418)),TRUE,FALSE)</f>
        <v>0</v>
      </c>
      <c r="G418" s="3" t="b">
        <f t="shared" si="419"/>
        <v>0</v>
      </c>
      <c r="H418" s="2" t="s">
        <v>11</v>
      </c>
    </row>
    <row r="419" ht="15.75" customHeight="1">
      <c r="A419" s="2" t="s">
        <v>312</v>
      </c>
      <c r="B419" s="2" t="s">
        <v>312</v>
      </c>
      <c r="C419" s="2"/>
      <c r="D419" s="3" t="b">
        <f t="shared" si="2"/>
        <v>0</v>
      </c>
      <c r="E419" s="3" t="b">
        <f t="shared" si="3"/>
        <v>0</v>
      </c>
      <c r="F419" s="3" t="b">
        <f t="shared" ref="F419:G419" si="420">IF(ISNUMBER(SEARCH("Past Due",$A419)),TRUE,FALSE)</f>
        <v>0</v>
      </c>
      <c r="G419" s="3" t="b">
        <f t="shared" si="420"/>
        <v>0</v>
      </c>
      <c r="H419" s="2" t="s">
        <v>15</v>
      </c>
    </row>
    <row r="420" ht="15.75" customHeight="1">
      <c r="A420" s="2" t="s">
        <v>313</v>
      </c>
      <c r="B420" s="2" t="s">
        <v>313</v>
      </c>
      <c r="C420" s="2"/>
      <c r="D420" s="3" t="b">
        <f t="shared" si="2"/>
        <v>0</v>
      </c>
      <c r="E420" s="3" t="b">
        <f t="shared" si="3"/>
        <v>0</v>
      </c>
      <c r="F420" s="3" t="b">
        <f t="shared" ref="F420:G420" si="421">IF(ISNUMBER(SEARCH("Past Due",$A420)),TRUE,FALSE)</f>
        <v>0</v>
      </c>
      <c r="G420" s="3" t="b">
        <f t="shared" si="421"/>
        <v>0</v>
      </c>
      <c r="H420" s="2" t="s">
        <v>17</v>
      </c>
    </row>
    <row r="421" ht="15.75" customHeight="1">
      <c r="A421" s="2" t="s">
        <v>314</v>
      </c>
      <c r="B421" s="2" t="s">
        <v>314</v>
      </c>
      <c r="C421" s="3">
        <v>45417.0</v>
      </c>
      <c r="D421" s="3" t="b">
        <f t="shared" si="2"/>
        <v>0</v>
      </c>
      <c r="E421" s="3" t="b">
        <f t="shared" si="3"/>
        <v>0</v>
      </c>
      <c r="F421" s="3" t="b">
        <f t="shared" ref="F421:G421" si="422">IF(ISNUMBER(SEARCH("Past Due",$A421)),TRUE,FALSE)</f>
        <v>0</v>
      </c>
      <c r="G421" s="3" t="b">
        <f t="shared" si="422"/>
        <v>0</v>
      </c>
      <c r="H421" s="2"/>
    </row>
    <row r="422" ht="15.75" customHeight="1">
      <c r="A422" s="2" t="s">
        <v>314</v>
      </c>
      <c r="B422" s="2" t="s">
        <v>314</v>
      </c>
      <c r="C422" s="3">
        <v>45478.94667824074</v>
      </c>
      <c r="D422" s="3" t="b">
        <f t="shared" si="2"/>
        <v>0</v>
      </c>
      <c r="E422" s="3" t="b">
        <f t="shared" si="3"/>
        <v>0</v>
      </c>
      <c r="F422" s="3" t="b">
        <f t="shared" ref="F422:G422" si="423">IF(ISNUMBER(SEARCH("Past Due",$A422)),TRUE,FALSE)</f>
        <v>0</v>
      </c>
      <c r="G422" s="3" t="b">
        <f t="shared" si="423"/>
        <v>0</v>
      </c>
      <c r="H422" s="2"/>
    </row>
    <row r="423" ht="15.75" customHeight="1">
      <c r="A423" s="2" t="s">
        <v>315</v>
      </c>
      <c r="B423" s="2" t="s">
        <v>315</v>
      </c>
      <c r="C423" s="3">
        <v>45509.85255787037</v>
      </c>
      <c r="D423" s="3" t="b">
        <f t="shared" si="2"/>
        <v>0</v>
      </c>
      <c r="E423" s="3" t="b">
        <f t="shared" si="3"/>
        <v>0</v>
      </c>
      <c r="F423" s="3" t="b">
        <f t="shared" ref="F423:G423" si="424">IF(ISNUMBER(SEARCH("Past Due",$A423)),TRUE,FALSE)</f>
        <v>1</v>
      </c>
      <c r="G423" s="3" t="b">
        <f t="shared" si="424"/>
        <v>1</v>
      </c>
      <c r="H423" s="2" t="s">
        <v>15</v>
      </c>
    </row>
    <row r="424" ht="15.75" customHeight="1">
      <c r="A424" s="2" t="s">
        <v>316</v>
      </c>
      <c r="B424" s="2" t="s">
        <v>316</v>
      </c>
      <c r="C424" s="3">
        <v>45570.78524305556</v>
      </c>
      <c r="D424" s="3" t="b">
        <f t="shared" si="2"/>
        <v>0</v>
      </c>
      <c r="E424" s="3" t="b">
        <f t="shared" si="3"/>
        <v>1</v>
      </c>
      <c r="F424" s="3" t="b">
        <f t="shared" ref="F424:G424" si="425">IF(ISNUMBER(SEARCH("Past Due",$A424)),TRUE,FALSE)</f>
        <v>0</v>
      </c>
      <c r="G424" s="3" t="b">
        <f t="shared" si="425"/>
        <v>0</v>
      </c>
      <c r="H424" s="2"/>
    </row>
    <row r="425" ht="15.75" customHeight="1">
      <c r="A425" s="2" t="s">
        <v>317</v>
      </c>
      <c r="B425" s="2" t="s">
        <v>317</v>
      </c>
      <c r="C425" s="2"/>
      <c r="D425" s="3" t="b">
        <f t="shared" si="2"/>
        <v>0</v>
      </c>
      <c r="E425" s="3" t="b">
        <f t="shared" si="3"/>
        <v>0</v>
      </c>
      <c r="F425" s="3" t="b">
        <f t="shared" ref="F425:G425" si="426">IF(ISNUMBER(SEARCH("Past Due",$A425)),TRUE,FALSE)</f>
        <v>0</v>
      </c>
      <c r="G425" s="3" t="b">
        <f t="shared" si="426"/>
        <v>0</v>
      </c>
      <c r="H425" s="2" t="s">
        <v>11</v>
      </c>
    </row>
    <row r="426" ht="15.75" customHeight="1">
      <c r="A426" s="2" t="s">
        <v>318</v>
      </c>
      <c r="B426" s="2" t="s">
        <v>318</v>
      </c>
      <c r="C426" s="3">
        <v>45540.77569444444</v>
      </c>
      <c r="D426" s="3" t="b">
        <f t="shared" si="2"/>
        <v>0</v>
      </c>
      <c r="E426" s="3" t="b">
        <f t="shared" si="3"/>
        <v>0</v>
      </c>
      <c r="F426" s="3" t="b">
        <f t="shared" ref="F426:G426" si="427">IF(ISNUMBER(SEARCH("Past Due",$A426)),TRUE,FALSE)</f>
        <v>0</v>
      </c>
      <c r="G426" s="3" t="b">
        <f t="shared" si="427"/>
        <v>0</v>
      </c>
      <c r="H426" s="2"/>
    </row>
    <row r="427" ht="15.75" customHeight="1">
      <c r="A427" s="2" t="s">
        <v>318</v>
      </c>
      <c r="B427" s="2" t="s">
        <v>318</v>
      </c>
      <c r="C427" s="3">
        <v>45601.94091435185</v>
      </c>
      <c r="D427" s="3" t="b">
        <f t="shared" si="2"/>
        <v>0</v>
      </c>
      <c r="E427" s="3" t="b">
        <f t="shared" si="3"/>
        <v>0</v>
      </c>
      <c r="F427" s="3" t="b">
        <f t="shared" ref="F427:G427" si="428">IF(ISNUMBER(SEARCH("Past Due",$A427)),TRUE,FALSE)</f>
        <v>0</v>
      </c>
      <c r="G427" s="3" t="b">
        <f t="shared" si="428"/>
        <v>0</v>
      </c>
      <c r="H427" s="2"/>
    </row>
    <row r="428" ht="15.75" customHeight="1">
      <c r="A428" s="2" t="s">
        <v>319</v>
      </c>
      <c r="B428" s="2" t="s">
        <v>319</v>
      </c>
      <c r="C428" s="2"/>
      <c r="D428" s="3" t="b">
        <f t="shared" si="2"/>
        <v>0</v>
      </c>
      <c r="E428" s="3" t="b">
        <f t="shared" si="3"/>
        <v>0</v>
      </c>
      <c r="F428" s="3" t="b">
        <f t="shared" ref="F428:G428" si="429">IF(ISNUMBER(SEARCH("Past Due",$A428)),TRUE,FALSE)</f>
        <v>0</v>
      </c>
      <c r="G428" s="3" t="b">
        <f t="shared" si="429"/>
        <v>0</v>
      </c>
      <c r="H428" s="2" t="s">
        <v>11</v>
      </c>
    </row>
    <row r="429" ht="15.75" customHeight="1">
      <c r="A429" s="2" t="s">
        <v>319</v>
      </c>
      <c r="B429" s="2" t="s">
        <v>319</v>
      </c>
      <c r="C429" s="2"/>
      <c r="D429" s="3" t="b">
        <f t="shared" si="2"/>
        <v>0</v>
      </c>
      <c r="E429" s="3" t="b">
        <f t="shared" si="3"/>
        <v>0</v>
      </c>
      <c r="F429" s="3" t="b">
        <f t="shared" ref="F429:G429" si="430">IF(ISNUMBER(SEARCH("Past Due",$A429)),TRUE,FALSE)</f>
        <v>0</v>
      </c>
      <c r="G429" s="3" t="b">
        <f t="shared" si="430"/>
        <v>0</v>
      </c>
      <c r="H429" s="2" t="s">
        <v>11</v>
      </c>
    </row>
    <row r="430" ht="15.75" customHeight="1">
      <c r="A430" s="2" t="s">
        <v>319</v>
      </c>
      <c r="B430" s="2" t="s">
        <v>319</v>
      </c>
      <c r="C430" s="2"/>
      <c r="D430" s="3" t="b">
        <f t="shared" si="2"/>
        <v>0</v>
      </c>
      <c r="E430" s="3" t="b">
        <f t="shared" si="3"/>
        <v>0</v>
      </c>
      <c r="F430" s="3" t="b">
        <f t="shared" ref="F430:G430" si="431">IF(ISNUMBER(SEARCH("Past Due",$A430)),TRUE,FALSE)</f>
        <v>0</v>
      </c>
      <c r="G430" s="3" t="b">
        <f t="shared" si="431"/>
        <v>0</v>
      </c>
      <c r="H430" s="2" t="s">
        <v>15</v>
      </c>
    </row>
    <row r="431" ht="15.75" customHeight="1">
      <c r="A431" s="2" t="s">
        <v>320</v>
      </c>
      <c r="B431" s="2" t="s">
        <v>320</v>
      </c>
      <c r="C431" s="3">
        <v>45509.77177083334</v>
      </c>
      <c r="D431" s="3" t="b">
        <f t="shared" si="2"/>
        <v>0</v>
      </c>
      <c r="E431" s="3" t="b">
        <f t="shared" si="3"/>
        <v>0</v>
      </c>
      <c r="F431" s="3" t="b">
        <f t="shared" ref="F431:G431" si="432">IF(ISNUMBER(SEARCH("Past Due",$A431)),TRUE,FALSE)</f>
        <v>0</v>
      </c>
      <c r="G431" s="3" t="b">
        <f t="shared" si="432"/>
        <v>0</v>
      </c>
      <c r="H431" s="2"/>
    </row>
    <row r="432" ht="15.75" customHeight="1">
      <c r="A432" s="2" t="s">
        <v>320</v>
      </c>
      <c r="B432" s="2" t="s">
        <v>320</v>
      </c>
      <c r="C432" s="3">
        <v>45570.90650462963</v>
      </c>
      <c r="D432" s="3" t="b">
        <f t="shared" si="2"/>
        <v>0</v>
      </c>
      <c r="E432" s="3" t="b">
        <f t="shared" si="3"/>
        <v>0</v>
      </c>
      <c r="F432" s="3" t="b">
        <f t="shared" ref="F432:G432" si="433">IF(ISNUMBER(SEARCH("Past Due",$A432)),TRUE,FALSE)</f>
        <v>0</v>
      </c>
      <c r="G432" s="3" t="b">
        <f t="shared" si="433"/>
        <v>0</v>
      </c>
      <c r="H432" s="2"/>
    </row>
    <row r="433" ht="15.75" customHeight="1">
      <c r="A433" s="2" t="s">
        <v>321</v>
      </c>
      <c r="B433" s="2" t="s">
        <v>321</v>
      </c>
      <c r="C433" s="3">
        <v>45601.82564814815</v>
      </c>
      <c r="D433" s="3" t="b">
        <f t="shared" si="2"/>
        <v>0</v>
      </c>
      <c r="E433" s="3" t="b">
        <f t="shared" si="3"/>
        <v>0</v>
      </c>
      <c r="F433" s="3" t="b">
        <f t="shared" ref="F433:G433" si="434">IF(ISNUMBER(SEARCH("Past Due",$A433)),TRUE,FALSE)</f>
        <v>1</v>
      </c>
      <c r="G433" s="3" t="b">
        <f t="shared" si="434"/>
        <v>1</v>
      </c>
      <c r="H433" s="2" t="s">
        <v>15</v>
      </c>
    </row>
    <row r="434" ht="15.75" customHeight="1">
      <c r="A434" s="2" t="s">
        <v>322</v>
      </c>
      <c r="B434" s="2" t="s">
        <v>322</v>
      </c>
      <c r="C434" s="2"/>
      <c r="D434" s="3" t="b">
        <f t="shared" si="2"/>
        <v>0</v>
      </c>
      <c r="E434" s="3" t="b">
        <f t="shared" si="3"/>
        <v>0</v>
      </c>
      <c r="F434" s="3" t="b">
        <f t="shared" ref="F434:G434" si="435">IF(ISNUMBER(SEARCH("Past Due",$A434)),TRUE,FALSE)</f>
        <v>0</v>
      </c>
      <c r="G434" s="3" t="b">
        <f t="shared" si="435"/>
        <v>0</v>
      </c>
      <c r="H434" s="2" t="s">
        <v>11</v>
      </c>
    </row>
    <row r="435" ht="15.75" customHeight="1">
      <c r="A435" s="2" t="s">
        <v>323</v>
      </c>
      <c r="B435" s="2" t="s">
        <v>323</v>
      </c>
      <c r="C435" s="3">
        <v>45570.771574074075</v>
      </c>
      <c r="D435" s="3" t="b">
        <f t="shared" si="2"/>
        <v>0</v>
      </c>
      <c r="E435" s="3" t="b">
        <f t="shared" si="3"/>
        <v>0</v>
      </c>
      <c r="F435" s="3" t="b">
        <f t="shared" ref="F435:G435" si="436">IF(ISNUMBER(SEARCH("Past Due",$A435)),TRUE,FALSE)</f>
        <v>0</v>
      </c>
      <c r="G435" s="3" t="b">
        <f t="shared" si="436"/>
        <v>0</v>
      </c>
      <c r="H435" s="2"/>
    </row>
    <row r="436" ht="15.75" customHeight="1">
      <c r="A436" s="2" t="s">
        <v>324</v>
      </c>
      <c r="B436" s="2" t="s">
        <v>324</v>
      </c>
      <c r="C436" s="2"/>
      <c r="D436" s="3" t="b">
        <f t="shared" si="2"/>
        <v>0</v>
      </c>
      <c r="E436" s="3" t="b">
        <f t="shared" si="3"/>
        <v>0</v>
      </c>
      <c r="F436" s="3" t="b">
        <f t="shared" ref="F436:G436" si="437">IF(ISNUMBER(SEARCH("Past Due",$A436)),TRUE,FALSE)</f>
        <v>0</v>
      </c>
      <c r="G436" s="3" t="b">
        <f t="shared" si="437"/>
        <v>0</v>
      </c>
      <c r="H436" s="2" t="s">
        <v>15</v>
      </c>
    </row>
    <row r="437" ht="15.75" customHeight="1">
      <c r="A437" s="2" t="s">
        <v>325</v>
      </c>
      <c r="B437" s="2" t="s">
        <v>325</v>
      </c>
      <c r="C437" s="2"/>
      <c r="D437" s="3" t="b">
        <f t="shared" si="2"/>
        <v>0</v>
      </c>
      <c r="E437" s="3" t="b">
        <f t="shared" si="3"/>
        <v>0</v>
      </c>
      <c r="F437" s="3" t="b">
        <f t="shared" ref="F437:G437" si="438">IF(ISNUMBER(SEARCH("Past Due",$A437)),TRUE,FALSE)</f>
        <v>0</v>
      </c>
      <c r="G437" s="3" t="b">
        <f t="shared" si="438"/>
        <v>0</v>
      </c>
      <c r="H437" s="2" t="s">
        <v>17</v>
      </c>
    </row>
    <row r="438" ht="15.75" customHeight="1">
      <c r="A438" s="2" t="s">
        <v>326</v>
      </c>
      <c r="B438" s="2" t="s">
        <v>326</v>
      </c>
      <c r="C438" s="3">
        <v>45478.82672453704</v>
      </c>
      <c r="D438" s="3" t="b">
        <f t="shared" si="2"/>
        <v>0</v>
      </c>
      <c r="E438" s="3" t="b">
        <f t="shared" si="3"/>
        <v>0</v>
      </c>
      <c r="F438" s="3" t="b">
        <f t="shared" ref="F438:G438" si="439">IF(ISNUMBER(SEARCH("Past Due",$A438)),TRUE,FALSE)</f>
        <v>0</v>
      </c>
      <c r="G438" s="3" t="b">
        <f t="shared" si="439"/>
        <v>0</v>
      </c>
      <c r="H438" s="2"/>
    </row>
    <row r="439" ht="15.75" customHeight="1">
      <c r="A439" s="2" t="s">
        <v>327</v>
      </c>
      <c r="B439" s="2" t="s">
        <v>327</v>
      </c>
      <c r="C439" s="3">
        <v>45509.78820601852</v>
      </c>
      <c r="D439" s="3" t="b">
        <f t="shared" si="2"/>
        <v>0</v>
      </c>
      <c r="E439" s="3" t="b">
        <f t="shared" si="3"/>
        <v>0</v>
      </c>
      <c r="F439" s="3" t="b">
        <f t="shared" ref="F439:G439" si="440">IF(ISNUMBER(SEARCH("Past Due",$A439)),TRUE,FALSE)</f>
        <v>1</v>
      </c>
      <c r="G439" s="3" t="b">
        <f t="shared" si="440"/>
        <v>1</v>
      </c>
      <c r="H439" s="2" t="s">
        <v>15</v>
      </c>
    </row>
    <row r="440" ht="15.75" customHeight="1">
      <c r="A440" s="2" t="s">
        <v>328</v>
      </c>
      <c r="B440" s="2" t="s">
        <v>328</v>
      </c>
      <c r="C440" s="3">
        <v>45556.25136574074</v>
      </c>
      <c r="D440" s="3" t="b">
        <f t="shared" si="2"/>
        <v>0</v>
      </c>
      <c r="E440" s="3" t="b">
        <f t="shared" si="3"/>
        <v>0</v>
      </c>
      <c r="F440" s="3" t="b">
        <f t="shared" ref="F440:G440" si="441">IF(ISNUMBER(SEARCH("Past Due",$A440)),TRUE,FALSE)</f>
        <v>0</v>
      </c>
      <c r="G440" s="3" t="b">
        <f t="shared" si="441"/>
        <v>0</v>
      </c>
      <c r="H440" s="2"/>
    </row>
    <row r="441" ht="15.75" customHeight="1">
      <c r="A441" s="2" t="s">
        <v>329</v>
      </c>
      <c r="B441" s="2" t="s">
        <v>329</v>
      </c>
      <c r="C441" s="2"/>
      <c r="D441" s="3" t="b">
        <f t="shared" si="2"/>
        <v>0</v>
      </c>
      <c r="E441" s="3" t="b">
        <f t="shared" si="3"/>
        <v>0</v>
      </c>
      <c r="F441" s="3" t="b">
        <f t="shared" ref="F441:G441" si="442">IF(ISNUMBER(SEARCH("Past Due",$A441)),TRUE,FALSE)</f>
        <v>0</v>
      </c>
      <c r="G441" s="3" t="b">
        <f t="shared" si="442"/>
        <v>0</v>
      </c>
      <c r="H441" s="2" t="s">
        <v>11</v>
      </c>
    </row>
    <row r="442" ht="15.75" customHeight="1">
      <c r="A442" s="2" t="s">
        <v>329</v>
      </c>
      <c r="B442" s="2" t="s">
        <v>329</v>
      </c>
      <c r="C442" s="2"/>
      <c r="D442" s="3" t="b">
        <f t="shared" si="2"/>
        <v>0</v>
      </c>
      <c r="E442" s="3" t="b">
        <f t="shared" si="3"/>
        <v>0</v>
      </c>
      <c r="F442" s="3" t="b">
        <f t="shared" ref="F442:G442" si="443">IF(ISNUMBER(SEARCH("Past Due",$A442)),TRUE,FALSE)</f>
        <v>0</v>
      </c>
      <c r="G442" s="3" t="b">
        <f t="shared" si="443"/>
        <v>0</v>
      </c>
      <c r="H442" s="2" t="s">
        <v>15</v>
      </c>
    </row>
    <row r="443" ht="15.75" customHeight="1">
      <c r="A443" s="2" t="s">
        <v>330</v>
      </c>
      <c r="B443" s="2" t="s">
        <v>330</v>
      </c>
      <c r="C443" s="3">
        <v>45540.764710648145</v>
      </c>
      <c r="D443" s="3" t="b">
        <f t="shared" si="2"/>
        <v>0</v>
      </c>
      <c r="E443" s="3" t="b">
        <f t="shared" si="3"/>
        <v>0</v>
      </c>
      <c r="F443" s="3" t="b">
        <f t="shared" ref="F443:G443" si="444">IF(ISNUMBER(SEARCH("Past Due",$A443)),TRUE,FALSE)</f>
        <v>0</v>
      </c>
      <c r="G443" s="3" t="b">
        <f t="shared" si="444"/>
        <v>0</v>
      </c>
      <c r="H443" s="2"/>
    </row>
    <row r="444" ht="15.75" customHeight="1">
      <c r="A444" s="2" t="s">
        <v>330</v>
      </c>
      <c r="B444" s="2" t="s">
        <v>330</v>
      </c>
      <c r="C444" s="3">
        <v>45601.83709490741</v>
      </c>
      <c r="D444" s="3" t="b">
        <f t="shared" si="2"/>
        <v>0</v>
      </c>
      <c r="E444" s="3" t="b">
        <f t="shared" si="3"/>
        <v>0</v>
      </c>
      <c r="F444" s="3" t="b">
        <f t="shared" ref="F444:G444" si="445">IF(ISNUMBER(SEARCH("Past Due",$A444)),TRUE,FALSE)</f>
        <v>0</v>
      </c>
      <c r="G444" s="3" t="b">
        <f t="shared" si="445"/>
        <v>0</v>
      </c>
      <c r="H444" s="2"/>
    </row>
    <row r="445" ht="15.75" customHeight="1">
      <c r="A445" s="2" t="s">
        <v>331</v>
      </c>
      <c r="B445" s="2" t="s">
        <v>331</v>
      </c>
      <c r="C445" s="2"/>
      <c r="D445" s="3" t="b">
        <f t="shared" si="2"/>
        <v>0</v>
      </c>
      <c r="E445" s="3" t="b">
        <f t="shared" si="3"/>
        <v>0</v>
      </c>
      <c r="F445" s="3" t="b">
        <f t="shared" ref="F445:G445" si="446">IF(ISNUMBER(SEARCH("Past Due",$A445)),TRUE,FALSE)</f>
        <v>0</v>
      </c>
      <c r="G445" s="3" t="b">
        <f t="shared" si="446"/>
        <v>0</v>
      </c>
      <c r="H445" s="2" t="s">
        <v>11</v>
      </c>
    </row>
    <row r="446" ht="15.75" customHeight="1">
      <c r="A446" s="2" t="s">
        <v>331</v>
      </c>
      <c r="B446" s="2" t="s">
        <v>331</v>
      </c>
      <c r="C446" s="2"/>
      <c r="D446" s="3" t="b">
        <f t="shared" si="2"/>
        <v>0</v>
      </c>
      <c r="E446" s="3" t="b">
        <f t="shared" si="3"/>
        <v>0</v>
      </c>
      <c r="F446" s="3" t="b">
        <f t="shared" ref="F446:G446" si="447">IF(ISNUMBER(SEARCH("Past Due",$A446)),TRUE,FALSE)</f>
        <v>0</v>
      </c>
      <c r="G446" s="3" t="b">
        <f t="shared" si="447"/>
        <v>0</v>
      </c>
      <c r="H446" s="2" t="s">
        <v>11</v>
      </c>
    </row>
    <row r="447" ht="15.75" customHeight="1">
      <c r="A447" s="2" t="s">
        <v>331</v>
      </c>
      <c r="B447" s="2" t="s">
        <v>331</v>
      </c>
      <c r="C447" s="2"/>
      <c r="D447" s="3" t="b">
        <f t="shared" si="2"/>
        <v>0</v>
      </c>
      <c r="E447" s="3" t="b">
        <f t="shared" si="3"/>
        <v>0</v>
      </c>
      <c r="F447" s="3" t="b">
        <f t="shared" ref="F447:G447" si="448">IF(ISNUMBER(SEARCH("Past Due",$A447)),TRUE,FALSE)</f>
        <v>0</v>
      </c>
      <c r="G447" s="3" t="b">
        <f t="shared" si="448"/>
        <v>0</v>
      </c>
      <c r="H447" s="2" t="s">
        <v>15</v>
      </c>
    </row>
    <row r="448" ht="15.75" customHeight="1">
      <c r="A448" s="2" t="s">
        <v>332</v>
      </c>
      <c r="B448" s="2" t="s">
        <v>332</v>
      </c>
      <c r="C448" s="3">
        <v>45478.88340277778</v>
      </c>
      <c r="D448" s="3" t="b">
        <f t="shared" si="2"/>
        <v>0</v>
      </c>
      <c r="E448" s="3" t="b">
        <f t="shared" si="3"/>
        <v>0</v>
      </c>
      <c r="F448" s="3" t="b">
        <f t="shared" ref="F448:G448" si="449">IF(ISNUMBER(SEARCH("Past Due",$A448)),TRUE,FALSE)</f>
        <v>0</v>
      </c>
      <c r="G448" s="3" t="b">
        <f t="shared" si="449"/>
        <v>0</v>
      </c>
      <c r="H448" s="2"/>
    </row>
    <row r="449" ht="15.75" customHeight="1">
      <c r="A449" s="2" t="s">
        <v>333</v>
      </c>
      <c r="B449" s="2" t="s">
        <v>333</v>
      </c>
      <c r="C449" s="3">
        <v>45509.81114583334</v>
      </c>
      <c r="D449" s="3" t="b">
        <f t="shared" si="2"/>
        <v>0</v>
      </c>
      <c r="E449" s="3" t="b">
        <f t="shared" si="3"/>
        <v>0</v>
      </c>
      <c r="F449" s="3" t="b">
        <f t="shared" ref="F449:G449" si="450">IF(ISNUMBER(SEARCH("Past Due",$A449)),TRUE,FALSE)</f>
        <v>1</v>
      </c>
      <c r="G449" s="3" t="b">
        <f t="shared" si="450"/>
        <v>1</v>
      </c>
      <c r="H449" s="2" t="s">
        <v>15</v>
      </c>
    </row>
    <row r="450" ht="15.75" customHeight="1">
      <c r="A450" s="2" t="s">
        <v>334</v>
      </c>
      <c r="B450" s="2" t="s">
        <v>334</v>
      </c>
      <c r="C450" s="3">
        <v>45570.76577546296</v>
      </c>
      <c r="D450" s="3" t="b">
        <f t="shared" si="2"/>
        <v>0</v>
      </c>
      <c r="E450" s="3" t="b">
        <f t="shared" si="3"/>
        <v>1</v>
      </c>
      <c r="F450" s="3" t="b">
        <f t="shared" ref="F450:G450" si="451">IF(ISNUMBER(SEARCH("Past Due",$A450)),TRUE,FALSE)</f>
        <v>0</v>
      </c>
      <c r="G450" s="3" t="b">
        <f t="shared" si="451"/>
        <v>0</v>
      </c>
      <c r="H450" s="2"/>
    </row>
    <row r="451" ht="15.75" customHeight="1">
      <c r="A451" s="2" t="s">
        <v>335</v>
      </c>
      <c r="B451" s="2" t="s">
        <v>335</v>
      </c>
      <c r="C451" s="2"/>
      <c r="D451" s="3" t="b">
        <f t="shared" si="2"/>
        <v>0</v>
      </c>
      <c r="E451" s="3" t="b">
        <f t="shared" si="3"/>
        <v>0</v>
      </c>
      <c r="F451" s="3" t="b">
        <f t="shared" ref="F451:G451" si="452">IF(ISNUMBER(SEARCH("Past Due",$A451)),TRUE,FALSE)</f>
        <v>0</v>
      </c>
      <c r="G451" s="3" t="b">
        <f t="shared" si="452"/>
        <v>0</v>
      </c>
      <c r="H451" s="2" t="s">
        <v>11</v>
      </c>
    </row>
    <row r="452" ht="15.75" customHeight="1">
      <c r="A452" s="2" t="s">
        <v>336</v>
      </c>
      <c r="B452" s="2" t="s">
        <v>336</v>
      </c>
      <c r="C452" s="2"/>
      <c r="D452" s="3" t="b">
        <f t="shared" si="2"/>
        <v>0</v>
      </c>
      <c r="E452" s="3" t="b">
        <f t="shared" si="3"/>
        <v>0</v>
      </c>
      <c r="F452" s="3" t="b">
        <f t="shared" ref="F452:G452" si="453">IF(ISNUMBER(SEARCH("Past Due",$A452)),TRUE,FALSE)</f>
        <v>0</v>
      </c>
      <c r="G452" s="3" t="b">
        <f t="shared" si="453"/>
        <v>0</v>
      </c>
      <c r="H452" s="2" t="s">
        <v>17</v>
      </c>
    </row>
    <row r="453" ht="15.75" customHeight="1">
      <c r="A453" s="2" t="s">
        <v>337</v>
      </c>
      <c r="B453" s="2" t="s">
        <v>337</v>
      </c>
      <c r="C453" s="3">
        <v>45448.84821759259</v>
      </c>
      <c r="D453" s="3" t="b">
        <f t="shared" si="2"/>
        <v>0</v>
      </c>
      <c r="E453" s="3" t="b">
        <f t="shared" si="3"/>
        <v>0</v>
      </c>
      <c r="F453" s="3" t="b">
        <f t="shared" ref="F453:G453" si="454">IF(ISNUMBER(SEARCH("Past Due",$A453)),TRUE,FALSE)</f>
        <v>0</v>
      </c>
      <c r="G453" s="3" t="b">
        <f t="shared" si="454"/>
        <v>0</v>
      </c>
      <c r="H453" s="2"/>
    </row>
    <row r="454" ht="15.75" customHeight="1">
      <c r="A454" s="2" t="s">
        <v>338</v>
      </c>
      <c r="B454" s="2" t="s">
        <v>338</v>
      </c>
      <c r="C454" s="3">
        <v>45478.80155092593</v>
      </c>
      <c r="D454" s="3" t="b">
        <f t="shared" si="2"/>
        <v>0</v>
      </c>
      <c r="E454" s="3" t="b">
        <f t="shared" si="3"/>
        <v>0</v>
      </c>
      <c r="F454" s="3" t="b">
        <f t="shared" ref="F454:G454" si="455">IF(ISNUMBER(SEARCH("Past Due",$A454)),TRUE,FALSE)</f>
        <v>1</v>
      </c>
      <c r="G454" s="3" t="b">
        <f t="shared" si="455"/>
        <v>1</v>
      </c>
      <c r="H454" s="2" t="s">
        <v>15</v>
      </c>
    </row>
    <row r="455" ht="15.75" customHeight="1">
      <c r="A455" s="2" t="s">
        <v>339</v>
      </c>
      <c r="B455" s="2" t="s">
        <v>339</v>
      </c>
      <c r="C455" s="3">
        <v>45540.76013888889</v>
      </c>
      <c r="D455" s="3" t="b">
        <f t="shared" si="2"/>
        <v>0</v>
      </c>
      <c r="E455" s="3" t="b">
        <f t="shared" si="3"/>
        <v>1</v>
      </c>
      <c r="F455" s="3" t="b">
        <f t="shared" ref="F455:G455" si="456">IF(ISNUMBER(SEARCH("Past Due",$A455)),TRUE,FALSE)</f>
        <v>0</v>
      </c>
      <c r="G455" s="3" t="b">
        <f t="shared" si="456"/>
        <v>0</v>
      </c>
      <c r="H455" s="2"/>
    </row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13"/>
    <col customWidth="1" min="2" max="2" width="15.63"/>
    <col customWidth="1" min="3" max="3" width="22.38"/>
    <col customWidth="1" min="4" max="4" width="22.75"/>
    <col customWidth="1" min="5" max="5" width="25.13"/>
    <col customWidth="1" min="6" max="6" width="43.88"/>
    <col customWidth="1" min="7" max="26" width="8.63"/>
  </cols>
  <sheetData>
    <row r="1">
      <c r="A1" s="6" t="s">
        <v>1</v>
      </c>
      <c r="B1" s="6" t="s">
        <v>2</v>
      </c>
      <c r="C1" s="7" t="s">
        <v>7</v>
      </c>
      <c r="D1" s="8"/>
      <c r="E1" s="9"/>
      <c r="F1" s="9"/>
      <c r="G1" s="7" t="s">
        <v>7</v>
      </c>
    </row>
    <row r="2">
      <c r="A2" s="10" t="s">
        <v>8</v>
      </c>
      <c r="B2" s="11">
        <v>45525.250659722224</v>
      </c>
      <c r="C2" s="8"/>
      <c r="D2" s="11"/>
      <c r="E2" s="11"/>
      <c r="F2" s="11"/>
      <c r="G2" s="8"/>
    </row>
    <row r="3">
      <c r="A3" s="12" t="s">
        <v>10</v>
      </c>
      <c r="B3" s="12"/>
      <c r="C3" s="9" t="s">
        <v>11</v>
      </c>
      <c r="D3" s="13"/>
      <c r="E3" s="13"/>
      <c r="F3" s="13"/>
      <c r="G3" s="9" t="s">
        <v>11</v>
      </c>
    </row>
    <row r="4">
      <c r="A4" s="10" t="s">
        <v>12</v>
      </c>
      <c r="B4" s="10"/>
      <c r="C4" s="8" t="s">
        <v>11</v>
      </c>
      <c r="D4" s="11"/>
      <c r="E4" s="11"/>
      <c r="F4" s="11"/>
      <c r="G4" s="8" t="s">
        <v>11</v>
      </c>
    </row>
    <row r="5">
      <c r="A5" s="12" t="s">
        <v>13</v>
      </c>
      <c r="B5" s="13">
        <v>45509.775</v>
      </c>
      <c r="C5" s="9" t="s">
        <v>11</v>
      </c>
      <c r="D5" s="13"/>
      <c r="E5" s="13"/>
      <c r="F5" s="13"/>
      <c r="G5" s="9" t="s">
        <v>11</v>
      </c>
    </row>
    <row r="6">
      <c r="A6" s="10" t="s">
        <v>14</v>
      </c>
      <c r="B6" s="11">
        <v>45570.98400462963</v>
      </c>
      <c r="C6" s="8" t="s">
        <v>11</v>
      </c>
      <c r="D6" s="11"/>
      <c r="E6" s="11"/>
      <c r="F6" s="11"/>
      <c r="G6" s="8" t="s">
        <v>11</v>
      </c>
    </row>
    <row r="7">
      <c r="A7" s="12" t="s">
        <v>16</v>
      </c>
      <c r="B7" s="13">
        <v>45601.86670138889</v>
      </c>
      <c r="C7" s="9" t="s">
        <v>15</v>
      </c>
      <c r="D7" s="13"/>
      <c r="E7" s="13"/>
      <c r="F7" s="13"/>
      <c r="G7" s="9" t="s">
        <v>15</v>
      </c>
    </row>
    <row r="8">
      <c r="A8" s="10" t="s">
        <v>18</v>
      </c>
      <c r="B8" s="11">
        <v>45478.78704861111</v>
      </c>
      <c r="C8" s="8" t="s">
        <v>17</v>
      </c>
      <c r="D8" s="11"/>
      <c r="E8" s="11"/>
      <c r="F8" s="11"/>
      <c r="G8" s="8" t="s">
        <v>17</v>
      </c>
    </row>
    <row r="10">
      <c r="A10" s="14" t="s">
        <v>340</v>
      </c>
      <c r="B10" s="14" t="s">
        <v>341</v>
      </c>
      <c r="C10" s="15" t="s">
        <v>342</v>
      </c>
      <c r="D10" s="15" t="s">
        <v>343</v>
      </c>
      <c r="E10" s="15" t="s">
        <v>17</v>
      </c>
      <c r="F10" s="15" t="s">
        <v>344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7" t="s">
        <v>10</v>
      </c>
      <c r="B11" s="18" t="s">
        <v>345</v>
      </c>
      <c r="C11" s="16" t="b">
        <v>1</v>
      </c>
      <c r="D11" s="16" t="b">
        <v>1</v>
      </c>
      <c r="E11" s="16" t="b">
        <v>1</v>
      </c>
      <c r="F11" s="16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25"/>
    <col customWidth="1" min="2" max="2" width="37.63"/>
    <col customWidth="1" min="3" max="4" width="16.13"/>
    <col customWidth="1" min="5" max="6" width="8.63"/>
    <col customWidth="1" min="7" max="7" width="35.38"/>
    <col customWidth="1" min="8" max="26" width="8.63"/>
  </cols>
  <sheetData>
    <row r="1">
      <c r="A1" s="1" t="s">
        <v>346</v>
      </c>
      <c r="B1" s="1" t="s">
        <v>347</v>
      </c>
      <c r="C1" s="1" t="s">
        <v>348</v>
      </c>
      <c r="D1" s="1" t="s">
        <v>349</v>
      </c>
      <c r="E1" s="1" t="s">
        <v>350</v>
      </c>
      <c r="F1" s="1" t="s">
        <v>351</v>
      </c>
      <c r="G1" s="1" t="s">
        <v>352</v>
      </c>
    </row>
    <row r="2">
      <c r="A2" s="2" t="s">
        <v>353</v>
      </c>
      <c r="B2" s="2" t="s">
        <v>354</v>
      </c>
      <c r="C2" s="2"/>
      <c r="D2" s="2" t="s">
        <v>355</v>
      </c>
      <c r="E2" s="2" t="s">
        <v>356</v>
      </c>
      <c r="F2" s="2">
        <v>46201.0</v>
      </c>
      <c r="G2" s="2" t="s">
        <v>357</v>
      </c>
    </row>
    <row r="3">
      <c r="A3" s="2" t="s">
        <v>358</v>
      </c>
      <c r="B3" s="2" t="s">
        <v>359</v>
      </c>
      <c r="C3" s="2"/>
      <c r="D3" s="2" t="s">
        <v>355</v>
      </c>
      <c r="E3" s="2" t="s">
        <v>356</v>
      </c>
      <c r="F3" s="2">
        <v>46268.0</v>
      </c>
      <c r="G3" s="2" t="s">
        <v>357</v>
      </c>
    </row>
    <row r="4">
      <c r="A4" s="2" t="s">
        <v>360</v>
      </c>
      <c r="B4" s="2" t="s">
        <v>361</v>
      </c>
      <c r="C4" s="2"/>
      <c r="D4" s="2" t="s">
        <v>355</v>
      </c>
      <c r="E4" s="2" t="s">
        <v>356</v>
      </c>
      <c r="F4" s="2">
        <v>46214.0</v>
      </c>
      <c r="G4" s="2" t="s">
        <v>357</v>
      </c>
    </row>
    <row r="5">
      <c r="A5" s="2" t="s">
        <v>362</v>
      </c>
      <c r="B5" s="2" t="s">
        <v>363</v>
      </c>
      <c r="C5" s="2" t="s">
        <v>364</v>
      </c>
      <c r="D5" s="2" t="s">
        <v>355</v>
      </c>
      <c r="E5" s="2" t="s">
        <v>356</v>
      </c>
      <c r="F5" s="2">
        <v>46237.0</v>
      </c>
      <c r="G5" s="2" t="s">
        <v>357</v>
      </c>
    </row>
    <row r="6">
      <c r="A6" s="2" t="s">
        <v>365</v>
      </c>
      <c r="B6" s="2" t="s">
        <v>366</v>
      </c>
      <c r="C6" s="2"/>
      <c r="D6" s="2" t="s">
        <v>355</v>
      </c>
      <c r="E6" s="2" t="s">
        <v>356</v>
      </c>
      <c r="F6" s="2">
        <v>46235.0</v>
      </c>
      <c r="G6" s="2" t="s">
        <v>357</v>
      </c>
    </row>
    <row r="7">
      <c r="A7" s="2" t="s">
        <v>367</v>
      </c>
      <c r="B7" s="2" t="s">
        <v>368</v>
      </c>
      <c r="C7" s="2"/>
      <c r="D7" s="2" t="s">
        <v>355</v>
      </c>
      <c r="E7" s="2" t="s">
        <v>356</v>
      </c>
      <c r="F7" s="2">
        <v>46225.0</v>
      </c>
      <c r="G7" s="2" t="s">
        <v>357</v>
      </c>
    </row>
    <row r="8">
      <c r="A8" s="2" t="s">
        <v>369</v>
      </c>
      <c r="B8" s="2" t="s">
        <v>370</v>
      </c>
      <c r="C8" s="2"/>
      <c r="D8" s="2" t="s">
        <v>355</v>
      </c>
      <c r="E8" s="2" t="s">
        <v>356</v>
      </c>
      <c r="F8" s="2">
        <v>46222.0</v>
      </c>
      <c r="G8" s="2" t="s">
        <v>357</v>
      </c>
    </row>
    <row r="9">
      <c r="A9" s="2" t="s">
        <v>371</v>
      </c>
      <c r="B9" s="2" t="s">
        <v>372</v>
      </c>
      <c r="C9" s="2"/>
      <c r="D9" s="2" t="s">
        <v>355</v>
      </c>
      <c r="E9" s="2" t="s">
        <v>356</v>
      </c>
      <c r="F9" s="2">
        <v>46229.0</v>
      </c>
      <c r="G9" s="2" t="s">
        <v>357</v>
      </c>
    </row>
    <row r="10">
      <c r="A10" s="2" t="s">
        <v>373</v>
      </c>
      <c r="B10" s="2" t="s">
        <v>374</v>
      </c>
      <c r="C10" s="2"/>
      <c r="D10" s="2" t="s">
        <v>355</v>
      </c>
      <c r="E10" s="2" t="s">
        <v>356</v>
      </c>
      <c r="F10" s="2" t="s">
        <v>375</v>
      </c>
      <c r="G10" s="2" t="s">
        <v>357</v>
      </c>
    </row>
    <row r="11">
      <c r="A11" s="2" t="s">
        <v>376</v>
      </c>
      <c r="B11" s="2" t="s">
        <v>377</v>
      </c>
      <c r="C11" s="2"/>
      <c r="D11" s="2" t="s">
        <v>355</v>
      </c>
      <c r="E11" s="2" t="s">
        <v>356</v>
      </c>
      <c r="F11" s="2">
        <v>46235.0</v>
      </c>
      <c r="G11" s="2" t="s">
        <v>357</v>
      </c>
    </row>
    <row r="12">
      <c r="A12" s="2" t="s">
        <v>378</v>
      </c>
      <c r="B12" s="2" t="s">
        <v>379</v>
      </c>
      <c r="C12" s="2"/>
      <c r="D12" s="2" t="s">
        <v>380</v>
      </c>
      <c r="E12" s="2" t="s">
        <v>356</v>
      </c>
      <c r="F12" s="2">
        <v>47446.0</v>
      </c>
      <c r="G12" s="2" t="s">
        <v>357</v>
      </c>
    </row>
    <row r="13">
      <c r="A13" s="2" t="s">
        <v>381</v>
      </c>
      <c r="B13" s="2" t="s">
        <v>382</v>
      </c>
      <c r="C13" s="2"/>
      <c r="D13" s="2" t="s">
        <v>355</v>
      </c>
      <c r="E13" s="2" t="s">
        <v>356</v>
      </c>
      <c r="F13" s="2">
        <v>46222.0</v>
      </c>
      <c r="G13" s="2" t="s">
        <v>357</v>
      </c>
    </row>
    <row r="14">
      <c r="A14" s="2" t="s">
        <v>383</v>
      </c>
      <c r="B14" s="2" t="s">
        <v>384</v>
      </c>
      <c r="C14" s="2"/>
      <c r="D14" s="2" t="s">
        <v>385</v>
      </c>
      <c r="E14" s="2" t="s">
        <v>356</v>
      </c>
      <c r="F14" s="2">
        <v>46158.0</v>
      </c>
      <c r="G14" s="2" t="s">
        <v>357</v>
      </c>
    </row>
    <row r="15">
      <c r="A15" s="2" t="s">
        <v>386</v>
      </c>
      <c r="B15" s="2" t="s">
        <v>387</v>
      </c>
      <c r="C15" s="2" t="s">
        <v>388</v>
      </c>
      <c r="D15" s="2" t="s">
        <v>355</v>
      </c>
      <c r="E15" s="2" t="s">
        <v>356</v>
      </c>
      <c r="F15" s="2">
        <v>46260.0</v>
      </c>
      <c r="G15" s="2" t="s">
        <v>357</v>
      </c>
    </row>
    <row r="16">
      <c r="A16" s="2" t="s">
        <v>389</v>
      </c>
      <c r="B16" s="2" t="s">
        <v>390</v>
      </c>
      <c r="C16" s="2"/>
      <c r="D16" s="2" t="s">
        <v>355</v>
      </c>
      <c r="E16" s="2" t="s">
        <v>356</v>
      </c>
      <c r="F16" s="2">
        <v>46228.0</v>
      </c>
      <c r="G16" s="2" t="s">
        <v>357</v>
      </c>
    </row>
    <row r="17">
      <c r="A17" s="2" t="s">
        <v>391</v>
      </c>
      <c r="B17" s="2" t="s">
        <v>392</v>
      </c>
      <c r="C17" s="2"/>
      <c r="D17" s="2" t="s">
        <v>355</v>
      </c>
      <c r="E17" s="2" t="s">
        <v>356</v>
      </c>
      <c r="F17" s="2">
        <v>46203.0</v>
      </c>
      <c r="G17" s="2" t="s">
        <v>357</v>
      </c>
    </row>
    <row r="18">
      <c r="A18" s="2" t="s">
        <v>393</v>
      </c>
      <c r="B18" s="2" t="s">
        <v>394</v>
      </c>
      <c r="C18" s="2"/>
      <c r="D18" s="2" t="s">
        <v>355</v>
      </c>
      <c r="E18" s="2" t="s">
        <v>356</v>
      </c>
      <c r="F18" s="2" t="s">
        <v>395</v>
      </c>
      <c r="G18" s="2" t="s">
        <v>357</v>
      </c>
    </row>
    <row r="19">
      <c r="A19" s="2" t="s">
        <v>396</v>
      </c>
      <c r="B19" s="2" t="s">
        <v>397</v>
      </c>
      <c r="C19" s="2"/>
      <c r="D19" s="2" t="s">
        <v>355</v>
      </c>
      <c r="E19" s="2" t="s">
        <v>356</v>
      </c>
      <c r="F19" s="2">
        <v>46221.0</v>
      </c>
      <c r="G19" s="2" t="s">
        <v>357</v>
      </c>
    </row>
    <row r="20">
      <c r="A20" s="2" t="s">
        <v>398</v>
      </c>
      <c r="B20" s="2" t="s">
        <v>399</v>
      </c>
      <c r="C20" s="2"/>
      <c r="D20" s="2" t="s">
        <v>355</v>
      </c>
      <c r="E20" s="2" t="s">
        <v>356</v>
      </c>
      <c r="F20" s="2">
        <v>46201.0</v>
      </c>
      <c r="G20" s="2" t="s">
        <v>357</v>
      </c>
    </row>
    <row r="21" ht="15.75" customHeight="1">
      <c r="A21" s="2" t="s">
        <v>400</v>
      </c>
      <c r="B21" s="2" t="s">
        <v>401</v>
      </c>
      <c r="C21" s="2" t="s">
        <v>402</v>
      </c>
      <c r="D21" s="2" t="s">
        <v>355</v>
      </c>
      <c r="E21" s="2" t="s">
        <v>356</v>
      </c>
      <c r="F21" s="2">
        <v>46219.0</v>
      </c>
      <c r="G21" s="2" t="s">
        <v>357</v>
      </c>
    </row>
    <row r="22" ht="15.75" customHeight="1">
      <c r="A22" s="2" t="s">
        <v>403</v>
      </c>
      <c r="B22" s="2" t="s">
        <v>404</v>
      </c>
      <c r="C22" s="2" t="s">
        <v>364</v>
      </c>
      <c r="D22" s="2" t="s">
        <v>355</v>
      </c>
      <c r="E22" s="2" t="s">
        <v>356</v>
      </c>
      <c r="F22" s="2">
        <v>46220.0</v>
      </c>
      <c r="G22" s="2" t="s">
        <v>357</v>
      </c>
    </row>
    <row r="23" ht="15.75" customHeight="1">
      <c r="A23" s="2" t="s">
        <v>405</v>
      </c>
      <c r="B23" s="2" t="s">
        <v>406</v>
      </c>
      <c r="C23" s="2"/>
      <c r="D23" s="2" t="s">
        <v>355</v>
      </c>
      <c r="E23" s="2" t="s">
        <v>356</v>
      </c>
      <c r="F23" s="2">
        <v>46222.0</v>
      </c>
      <c r="G23" s="2" t="s">
        <v>357</v>
      </c>
    </row>
    <row r="24" ht="15.75" customHeight="1">
      <c r="A24" s="2" t="s">
        <v>407</v>
      </c>
      <c r="B24" s="2" t="s">
        <v>408</v>
      </c>
      <c r="C24" s="2"/>
      <c r="D24" s="2" t="s">
        <v>355</v>
      </c>
      <c r="E24" s="2" t="s">
        <v>356</v>
      </c>
      <c r="F24" s="2">
        <v>46236.0</v>
      </c>
      <c r="G24" s="2" t="s">
        <v>357</v>
      </c>
    </row>
    <row r="25" ht="15.75" customHeight="1">
      <c r="A25" s="2" t="s">
        <v>409</v>
      </c>
      <c r="B25" s="2" t="s">
        <v>410</v>
      </c>
      <c r="C25" s="2"/>
      <c r="D25" s="2" t="s">
        <v>355</v>
      </c>
      <c r="E25" s="2" t="s">
        <v>356</v>
      </c>
      <c r="F25" s="2">
        <v>46254.0</v>
      </c>
      <c r="G25" s="2" t="s">
        <v>357</v>
      </c>
    </row>
    <row r="26" ht="15.75" customHeight="1">
      <c r="A26" s="2" t="s">
        <v>411</v>
      </c>
      <c r="B26" s="2" t="s">
        <v>412</v>
      </c>
      <c r="C26" s="2"/>
      <c r="D26" s="2" t="s">
        <v>355</v>
      </c>
      <c r="E26" s="2" t="s">
        <v>356</v>
      </c>
      <c r="F26" s="2">
        <v>46268.0</v>
      </c>
      <c r="G26" s="2" t="s">
        <v>357</v>
      </c>
    </row>
    <row r="27" ht="15.75" customHeight="1">
      <c r="A27" s="2" t="s">
        <v>413</v>
      </c>
      <c r="B27" s="2" t="s">
        <v>414</v>
      </c>
      <c r="C27" s="2"/>
      <c r="D27" s="2" t="s">
        <v>355</v>
      </c>
      <c r="E27" s="2" t="s">
        <v>356</v>
      </c>
      <c r="F27" s="2">
        <v>46241.0</v>
      </c>
      <c r="G27" s="2" t="s">
        <v>357</v>
      </c>
    </row>
    <row r="28" ht="15.75" customHeight="1">
      <c r="A28" s="2" t="s">
        <v>415</v>
      </c>
      <c r="B28" s="2" t="s">
        <v>416</v>
      </c>
      <c r="C28" s="2" t="s">
        <v>417</v>
      </c>
      <c r="D28" s="2" t="s">
        <v>355</v>
      </c>
      <c r="E28" s="2" t="s">
        <v>356</v>
      </c>
      <c r="F28" s="2">
        <v>46268.0</v>
      </c>
      <c r="G28" s="2" t="s">
        <v>357</v>
      </c>
    </row>
    <row r="29" ht="15.75" customHeight="1">
      <c r="A29" s="2" t="s">
        <v>418</v>
      </c>
      <c r="B29" s="2" t="s">
        <v>419</v>
      </c>
      <c r="C29" s="2"/>
      <c r="D29" s="2" t="s">
        <v>355</v>
      </c>
      <c r="E29" s="2" t="s">
        <v>356</v>
      </c>
      <c r="F29" s="2">
        <v>46240.0</v>
      </c>
      <c r="G29" s="2" t="s">
        <v>357</v>
      </c>
    </row>
    <row r="30" ht="15.75" customHeight="1">
      <c r="A30" s="2" t="s">
        <v>420</v>
      </c>
      <c r="B30" s="2" t="s">
        <v>421</v>
      </c>
      <c r="C30" s="2"/>
      <c r="D30" s="2" t="s">
        <v>355</v>
      </c>
      <c r="E30" s="2" t="s">
        <v>356</v>
      </c>
      <c r="F30" s="2">
        <v>46224.0</v>
      </c>
      <c r="G30" s="2" t="s">
        <v>357</v>
      </c>
    </row>
    <row r="31" ht="15.75" customHeight="1">
      <c r="A31" s="2" t="s">
        <v>422</v>
      </c>
      <c r="B31" s="2" t="s">
        <v>423</v>
      </c>
      <c r="C31" s="2"/>
      <c r="D31" s="2" t="s">
        <v>355</v>
      </c>
      <c r="E31" s="2" t="s">
        <v>356</v>
      </c>
      <c r="F31" s="2">
        <v>46224.0</v>
      </c>
      <c r="G31" s="2" t="s">
        <v>357</v>
      </c>
    </row>
    <row r="32" ht="15.75" customHeight="1">
      <c r="A32" s="2" t="s">
        <v>424</v>
      </c>
      <c r="B32" s="2" t="s">
        <v>425</v>
      </c>
      <c r="C32" s="2"/>
      <c r="D32" s="2" t="s">
        <v>355</v>
      </c>
      <c r="E32" s="2" t="s">
        <v>356</v>
      </c>
      <c r="F32" s="2">
        <v>46222.0</v>
      </c>
      <c r="G32" s="2" t="s">
        <v>357</v>
      </c>
    </row>
    <row r="33" ht="15.75" customHeight="1">
      <c r="A33" s="2" t="s">
        <v>426</v>
      </c>
      <c r="B33" s="2" t="s">
        <v>427</v>
      </c>
      <c r="C33" s="2" t="s">
        <v>428</v>
      </c>
      <c r="D33" s="2" t="s">
        <v>355</v>
      </c>
      <c r="E33" s="2" t="s">
        <v>356</v>
      </c>
      <c r="F33" s="2">
        <v>46214.0</v>
      </c>
      <c r="G33" s="2" t="s">
        <v>357</v>
      </c>
    </row>
    <row r="34" ht="15.75" customHeight="1">
      <c r="A34" s="2" t="s">
        <v>429</v>
      </c>
      <c r="B34" s="2" t="s">
        <v>430</v>
      </c>
      <c r="C34" s="2" t="s">
        <v>431</v>
      </c>
      <c r="D34" s="2" t="s">
        <v>432</v>
      </c>
      <c r="E34" s="2" t="s">
        <v>356</v>
      </c>
      <c r="F34" s="2" t="s">
        <v>433</v>
      </c>
      <c r="G34" s="2" t="s">
        <v>357</v>
      </c>
    </row>
    <row r="35" ht="15.75" customHeight="1">
      <c r="A35" s="2" t="s">
        <v>434</v>
      </c>
      <c r="B35" s="2" t="s">
        <v>435</v>
      </c>
      <c r="C35" s="2"/>
      <c r="D35" s="2" t="s">
        <v>436</v>
      </c>
      <c r="E35" s="2" t="s">
        <v>356</v>
      </c>
      <c r="F35" s="2">
        <v>46124.0</v>
      </c>
      <c r="G35" s="2" t="s">
        <v>357</v>
      </c>
    </row>
    <row r="36" ht="15.75" customHeight="1">
      <c r="A36" s="2" t="s">
        <v>437</v>
      </c>
      <c r="B36" s="2" t="s">
        <v>438</v>
      </c>
      <c r="C36" s="2"/>
      <c r="D36" s="2" t="s">
        <v>355</v>
      </c>
      <c r="E36" s="2" t="s">
        <v>356</v>
      </c>
      <c r="F36" s="2">
        <v>46224.0</v>
      </c>
      <c r="G36" s="2" t="s">
        <v>357</v>
      </c>
    </row>
    <row r="37" ht="15.75" customHeight="1">
      <c r="A37" s="2" t="s">
        <v>439</v>
      </c>
      <c r="B37" s="2" t="s">
        <v>440</v>
      </c>
      <c r="C37" s="2"/>
      <c r="D37" s="2" t="s">
        <v>355</v>
      </c>
      <c r="E37" s="2" t="s">
        <v>356</v>
      </c>
      <c r="F37" s="2">
        <v>46222.0</v>
      </c>
      <c r="G37" s="2" t="s">
        <v>357</v>
      </c>
    </row>
    <row r="38" ht="15.75" customHeight="1">
      <c r="A38" s="2" t="s">
        <v>441</v>
      </c>
      <c r="B38" s="2" t="s">
        <v>442</v>
      </c>
      <c r="C38" s="2"/>
      <c r="D38" s="2" t="s">
        <v>355</v>
      </c>
      <c r="E38" s="2" t="s">
        <v>356</v>
      </c>
      <c r="F38" s="2">
        <v>46224.0</v>
      </c>
      <c r="G38" s="2" t="s">
        <v>357</v>
      </c>
    </row>
    <row r="39" ht="15.75" customHeight="1">
      <c r="A39" s="2" t="s">
        <v>443</v>
      </c>
      <c r="B39" s="2" t="s">
        <v>444</v>
      </c>
      <c r="C39" s="2"/>
      <c r="D39" s="2" t="s">
        <v>355</v>
      </c>
      <c r="E39" s="2" t="s">
        <v>356</v>
      </c>
      <c r="F39" s="2">
        <v>46260.0</v>
      </c>
      <c r="G39" s="2" t="s">
        <v>357</v>
      </c>
    </row>
    <row r="40" ht="15.75" customHeight="1">
      <c r="A40" s="2" t="s">
        <v>445</v>
      </c>
      <c r="B40" s="2" t="s">
        <v>446</v>
      </c>
      <c r="C40" s="2"/>
      <c r="D40" s="2" t="s">
        <v>355</v>
      </c>
      <c r="E40" s="2" t="s">
        <v>356</v>
      </c>
      <c r="F40" s="2">
        <v>46224.0</v>
      </c>
      <c r="G40" s="2" t="s">
        <v>357</v>
      </c>
    </row>
    <row r="41" ht="15.75" customHeight="1">
      <c r="A41" s="2" t="s">
        <v>447</v>
      </c>
      <c r="B41" s="2" t="s">
        <v>448</v>
      </c>
      <c r="C41" s="2"/>
      <c r="D41" s="2" t="s">
        <v>355</v>
      </c>
      <c r="E41" s="2" t="s">
        <v>356</v>
      </c>
      <c r="F41" s="2">
        <v>46203.0</v>
      </c>
      <c r="G41" s="2" t="s">
        <v>357</v>
      </c>
    </row>
    <row r="42" ht="15.75" customHeight="1">
      <c r="A42" s="2" t="s">
        <v>449</v>
      </c>
      <c r="B42" s="2" t="s">
        <v>450</v>
      </c>
      <c r="C42" s="2"/>
      <c r="D42" s="2" t="s">
        <v>355</v>
      </c>
      <c r="E42" s="2" t="s">
        <v>356</v>
      </c>
      <c r="F42" s="2">
        <v>46222.0</v>
      </c>
      <c r="G42" s="2" t="s">
        <v>357</v>
      </c>
    </row>
    <row r="43" ht="15.75" customHeight="1">
      <c r="A43" s="2" t="s">
        <v>451</v>
      </c>
      <c r="B43" s="2" t="s">
        <v>452</v>
      </c>
      <c r="C43" s="2"/>
      <c r="D43" s="2" t="s">
        <v>355</v>
      </c>
      <c r="E43" s="2" t="s">
        <v>356</v>
      </c>
      <c r="F43" s="2" t="s">
        <v>453</v>
      </c>
      <c r="G43" s="2" t="s">
        <v>357</v>
      </c>
    </row>
    <row r="44" ht="15.75" customHeight="1">
      <c r="A44" s="2" t="s">
        <v>454</v>
      </c>
      <c r="B44" s="2" t="s">
        <v>455</v>
      </c>
      <c r="C44" s="2" t="s">
        <v>456</v>
      </c>
      <c r="D44" s="2" t="s">
        <v>355</v>
      </c>
      <c r="E44" s="2" t="s">
        <v>356</v>
      </c>
      <c r="F44" s="2">
        <v>46254.0</v>
      </c>
      <c r="G44" s="2" t="s">
        <v>357</v>
      </c>
    </row>
    <row r="45" ht="15.75" customHeight="1">
      <c r="A45" s="2" t="s">
        <v>457</v>
      </c>
      <c r="B45" s="2" t="s">
        <v>458</v>
      </c>
      <c r="C45" s="2"/>
      <c r="D45" s="2" t="s">
        <v>355</v>
      </c>
      <c r="E45" s="2" t="s">
        <v>356</v>
      </c>
      <c r="F45" s="2" t="s">
        <v>459</v>
      </c>
      <c r="G45" s="2" t="s">
        <v>357</v>
      </c>
    </row>
    <row r="46" ht="15.75" customHeight="1">
      <c r="A46" s="2" t="s">
        <v>460</v>
      </c>
      <c r="B46" s="2" t="s">
        <v>440</v>
      </c>
      <c r="C46" s="2">
        <v>616.0</v>
      </c>
      <c r="D46" s="2" t="s">
        <v>355</v>
      </c>
      <c r="E46" s="2" t="s">
        <v>356</v>
      </c>
      <c r="F46" s="2">
        <v>46222.0</v>
      </c>
      <c r="G46" s="2" t="s">
        <v>357</v>
      </c>
    </row>
    <row r="47" ht="15.75" customHeight="1">
      <c r="A47" s="2" t="s">
        <v>461</v>
      </c>
      <c r="B47" s="2" t="s">
        <v>462</v>
      </c>
      <c r="C47" s="2"/>
      <c r="D47" s="2" t="s">
        <v>463</v>
      </c>
      <c r="E47" s="2" t="s">
        <v>356</v>
      </c>
      <c r="F47" s="2">
        <v>46040.0</v>
      </c>
      <c r="G47" s="2" t="s">
        <v>357</v>
      </c>
    </row>
    <row r="48" ht="15.75" customHeight="1">
      <c r="A48" s="2" t="s">
        <v>464</v>
      </c>
      <c r="B48" s="2" t="s">
        <v>465</v>
      </c>
      <c r="C48" s="2"/>
      <c r="D48" s="2" t="s">
        <v>355</v>
      </c>
      <c r="E48" s="2" t="s">
        <v>356</v>
      </c>
      <c r="F48" s="2">
        <v>46225.0</v>
      </c>
      <c r="G48" s="2" t="s">
        <v>357</v>
      </c>
    </row>
    <row r="49" ht="15.75" customHeight="1">
      <c r="A49" s="2" t="s">
        <v>466</v>
      </c>
      <c r="B49" s="2" t="s">
        <v>467</v>
      </c>
      <c r="C49" s="2"/>
      <c r="D49" s="2" t="s">
        <v>355</v>
      </c>
      <c r="E49" s="2" t="s">
        <v>356</v>
      </c>
      <c r="F49" s="2">
        <v>46260.0</v>
      </c>
      <c r="G49" s="2" t="s">
        <v>357</v>
      </c>
    </row>
    <row r="50" ht="15.75" customHeight="1">
      <c r="A50" s="2" t="s">
        <v>468</v>
      </c>
      <c r="B50" s="2" t="s">
        <v>469</v>
      </c>
      <c r="C50" s="2"/>
      <c r="D50" s="2" t="s">
        <v>470</v>
      </c>
      <c r="E50" s="2" t="s">
        <v>356</v>
      </c>
      <c r="F50" s="2">
        <v>47909.0</v>
      </c>
      <c r="G50" s="2" t="s">
        <v>357</v>
      </c>
    </row>
    <row r="51" ht="15.75" customHeight="1">
      <c r="A51" s="2" t="s">
        <v>471</v>
      </c>
      <c r="B51" s="2" t="s">
        <v>472</v>
      </c>
      <c r="C51" s="2"/>
      <c r="D51" s="2" t="s">
        <v>355</v>
      </c>
      <c r="E51" s="2" t="s">
        <v>356</v>
      </c>
      <c r="F51" s="2">
        <v>46222.0</v>
      </c>
      <c r="G51" s="2" t="s">
        <v>357</v>
      </c>
    </row>
    <row r="52" ht="15.75" customHeight="1">
      <c r="A52" s="2" t="s">
        <v>473</v>
      </c>
      <c r="B52" s="2" t="s">
        <v>474</v>
      </c>
      <c r="C52" s="2"/>
      <c r="D52" s="2" t="s">
        <v>475</v>
      </c>
      <c r="E52" s="2" t="s">
        <v>356</v>
      </c>
      <c r="F52" s="2">
        <v>46112.0</v>
      </c>
      <c r="G52" s="2" t="s">
        <v>357</v>
      </c>
    </row>
    <row r="53" ht="15.75" customHeight="1">
      <c r="A53" s="2" t="s">
        <v>476</v>
      </c>
      <c r="B53" s="2" t="s">
        <v>477</v>
      </c>
      <c r="C53" s="2" t="s">
        <v>478</v>
      </c>
      <c r="D53" s="2" t="s">
        <v>355</v>
      </c>
      <c r="E53" s="2" t="s">
        <v>356</v>
      </c>
      <c r="F53" s="2">
        <v>46250.0</v>
      </c>
      <c r="G53" s="2" t="s">
        <v>357</v>
      </c>
    </row>
    <row r="54" ht="15.75" customHeight="1">
      <c r="A54" s="2" t="s">
        <v>479</v>
      </c>
      <c r="B54" s="2" t="s">
        <v>480</v>
      </c>
      <c r="C54" s="2" t="s">
        <v>481</v>
      </c>
      <c r="D54" s="2" t="s">
        <v>470</v>
      </c>
      <c r="E54" s="2" t="s">
        <v>356</v>
      </c>
      <c r="F54" s="2">
        <v>47905.0</v>
      </c>
      <c r="G54" s="2" t="s">
        <v>357</v>
      </c>
    </row>
    <row r="55" ht="15.75" customHeight="1">
      <c r="A55" s="2" t="s">
        <v>482</v>
      </c>
      <c r="B55" s="2" t="s">
        <v>483</v>
      </c>
      <c r="C55" s="2"/>
      <c r="D55" s="2" t="s">
        <v>355</v>
      </c>
      <c r="E55" s="2" t="s">
        <v>356</v>
      </c>
      <c r="F55" s="2">
        <v>46219.0</v>
      </c>
      <c r="G55" s="2" t="s">
        <v>357</v>
      </c>
    </row>
    <row r="56" ht="15.75" customHeight="1">
      <c r="A56" s="2" t="s">
        <v>484</v>
      </c>
      <c r="B56" s="2" t="s">
        <v>485</v>
      </c>
      <c r="C56" s="2"/>
      <c r="D56" s="2" t="s">
        <v>355</v>
      </c>
      <c r="E56" s="2" t="s">
        <v>356</v>
      </c>
      <c r="F56" s="2">
        <v>46227.0</v>
      </c>
      <c r="G56" s="2" t="s">
        <v>357</v>
      </c>
    </row>
    <row r="57" ht="15.75" customHeight="1">
      <c r="A57" s="2" t="s">
        <v>486</v>
      </c>
      <c r="B57" s="2" t="s">
        <v>487</v>
      </c>
      <c r="C57" s="2"/>
      <c r="D57" s="2" t="s">
        <v>355</v>
      </c>
      <c r="E57" s="2" t="s">
        <v>356</v>
      </c>
      <c r="F57" s="2" t="s">
        <v>488</v>
      </c>
      <c r="G57" s="2" t="s">
        <v>357</v>
      </c>
    </row>
    <row r="58" ht="15.75" customHeight="1">
      <c r="A58" s="2" t="s">
        <v>486</v>
      </c>
      <c r="B58" s="2" t="s">
        <v>489</v>
      </c>
      <c r="C58" s="2"/>
      <c r="D58" s="2" t="s">
        <v>355</v>
      </c>
      <c r="E58" s="2" t="s">
        <v>356</v>
      </c>
      <c r="F58" s="2" t="s">
        <v>490</v>
      </c>
      <c r="G58" s="2" t="s">
        <v>357</v>
      </c>
    </row>
    <row r="59" ht="15.75" customHeight="1">
      <c r="A59" s="2" t="s">
        <v>491</v>
      </c>
      <c r="B59" s="2" t="s">
        <v>492</v>
      </c>
      <c r="C59" s="2" t="s">
        <v>493</v>
      </c>
      <c r="D59" s="2" t="s">
        <v>355</v>
      </c>
      <c r="E59" s="2" t="s">
        <v>356</v>
      </c>
      <c r="F59" s="2">
        <v>46254.0</v>
      </c>
      <c r="G59" s="2" t="s">
        <v>357</v>
      </c>
    </row>
    <row r="60" ht="15.75" customHeight="1">
      <c r="A60" s="2" t="s">
        <v>494</v>
      </c>
      <c r="B60" s="2" t="s">
        <v>495</v>
      </c>
      <c r="C60" s="2"/>
      <c r="D60" s="2" t="s">
        <v>355</v>
      </c>
      <c r="E60" s="2" t="s">
        <v>356</v>
      </c>
      <c r="F60" s="2">
        <v>46201.0</v>
      </c>
      <c r="G60" s="2" t="s">
        <v>357</v>
      </c>
    </row>
    <row r="61" ht="15.75" customHeight="1">
      <c r="A61" s="2" t="s">
        <v>496</v>
      </c>
      <c r="B61" s="2" t="s">
        <v>497</v>
      </c>
      <c r="C61" s="2" t="s">
        <v>498</v>
      </c>
      <c r="D61" s="2" t="s">
        <v>355</v>
      </c>
      <c r="E61" s="2" t="s">
        <v>356</v>
      </c>
      <c r="F61" s="2">
        <v>46222.0</v>
      </c>
      <c r="G61" s="2" t="s">
        <v>357</v>
      </c>
    </row>
    <row r="62" ht="15.75" customHeight="1">
      <c r="A62" s="2" t="s">
        <v>499</v>
      </c>
      <c r="B62" s="2" t="s">
        <v>500</v>
      </c>
      <c r="C62" s="2"/>
      <c r="D62" s="2" t="s">
        <v>355</v>
      </c>
      <c r="E62" s="2" t="s">
        <v>356</v>
      </c>
      <c r="F62" s="2">
        <v>46221.0</v>
      </c>
      <c r="G62" s="2" t="s">
        <v>357</v>
      </c>
    </row>
    <row r="63" ht="15.75" customHeight="1">
      <c r="A63" s="2" t="s">
        <v>501</v>
      </c>
      <c r="B63" s="2" t="s">
        <v>502</v>
      </c>
      <c r="C63" s="2"/>
      <c r="D63" s="2" t="s">
        <v>355</v>
      </c>
      <c r="E63" s="2" t="s">
        <v>356</v>
      </c>
      <c r="F63" s="2">
        <v>46222.0</v>
      </c>
      <c r="G63" s="2" t="s">
        <v>357</v>
      </c>
    </row>
    <row r="64" ht="15.75" customHeight="1">
      <c r="A64" s="2" t="s">
        <v>503</v>
      </c>
      <c r="B64" s="2" t="s">
        <v>504</v>
      </c>
      <c r="C64" s="2"/>
      <c r="D64" s="2" t="s">
        <v>355</v>
      </c>
      <c r="E64" s="2" t="s">
        <v>356</v>
      </c>
      <c r="F64" s="2">
        <v>46222.0</v>
      </c>
      <c r="G64" s="2" t="s">
        <v>357</v>
      </c>
    </row>
    <row r="65" ht="15.75" customHeight="1">
      <c r="A65" s="2" t="s">
        <v>505</v>
      </c>
      <c r="B65" s="2" t="s">
        <v>506</v>
      </c>
      <c r="C65" s="2"/>
      <c r="D65" s="2" t="s">
        <v>355</v>
      </c>
      <c r="E65" s="2" t="s">
        <v>356</v>
      </c>
      <c r="F65" s="2">
        <v>46226.0</v>
      </c>
      <c r="G65" s="2" t="s">
        <v>357</v>
      </c>
    </row>
    <row r="66" ht="15.75" customHeight="1">
      <c r="A66" s="2" t="s">
        <v>507</v>
      </c>
      <c r="B66" s="2" t="s">
        <v>508</v>
      </c>
      <c r="C66" s="2"/>
      <c r="D66" s="2" t="s">
        <v>355</v>
      </c>
      <c r="E66" s="2" t="s">
        <v>356</v>
      </c>
      <c r="F66" s="2">
        <v>46240.0</v>
      </c>
      <c r="G66" s="2" t="s">
        <v>357</v>
      </c>
    </row>
    <row r="67" ht="15.75" customHeight="1">
      <c r="A67" s="2" t="s">
        <v>509</v>
      </c>
      <c r="B67" s="2" t="s">
        <v>510</v>
      </c>
      <c r="C67" s="2"/>
      <c r="D67" s="2" t="s">
        <v>355</v>
      </c>
      <c r="E67" s="2" t="s">
        <v>356</v>
      </c>
      <c r="F67" s="2">
        <v>46268.0</v>
      </c>
      <c r="G67" s="2" t="s">
        <v>357</v>
      </c>
    </row>
    <row r="68" ht="15.75" customHeight="1">
      <c r="A68" s="2" t="s">
        <v>511</v>
      </c>
      <c r="B68" s="2" t="s">
        <v>512</v>
      </c>
      <c r="C68" s="2"/>
      <c r="D68" s="2" t="s">
        <v>355</v>
      </c>
      <c r="E68" s="2" t="s">
        <v>356</v>
      </c>
      <c r="F68" s="2">
        <v>46260.0</v>
      </c>
      <c r="G68" s="2" t="s">
        <v>357</v>
      </c>
    </row>
    <row r="69" ht="15.75" customHeight="1">
      <c r="A69" s="2" t="s">
        <v>513</v>
      </c>
      <c r="B69" s="2" t="s">
        <v>514</v>
      </c>
      <c r="C69" s="2"/>
      <c r="D69" s="2" t="s">
        <v>355</v>
      </c>
      <c r="E69" s="2" t="s">
        <v>356</v>
      </c>
      <c r="F69" s="2">
        <v>46222.0</v>
      </c>
      <c r="G69" s="2" t="s">
        <v>357</v>
      </c>
    </row>
    <row r="70" ht="15.75" customHeight="1">
      <c r="A70" s="2" t="s">
        <v>515</v>
      </c>
      <c r="B70" s="2" t="s">
        <v>516</v>
      </c>
      <c r="C70" s="2"/>
      <c r="D70" s="2" t="s">
        <v>355</v>
      </c>
      <c r="E70" s="2" t="s">
        <v>356</v>
      </c>
      <c r="F70" s="2">
        <v>46201.0</v>
      </c>
      <c r="G70" s="2" t="s">
        <v>357</v>
      </c>
    </row>
    <row r="71" ht="15.75" customHeight="1">
      <c r="A71" s="2" t="s">
        <v>517</v>
      </c>
      <c r="B71" s="2" t="s">
        <v>518</v>
      </c>
      <c r="C71" s="2" t="s">
        <v>519</v>
      </c>
      <c r="D71" s="2" t="s">
        <v>355</v>
      </c>
      <c r="E71" s="2" t="s">
        <v>356</v>
      </c>
      <c r="F71" s="2">
        <v>46260.0</v>
      </c>
      <c r="G71" s="2" t="s">
        <v>357</v>
      </c>
    </row>
    <row r="72" ht="15.75" customHeight="1">
      <c r="A72" s="2" t="s">
        <v>520</v>
      </c>
      <c r="B72" s="2" t="s">
        <v>521</v>
      </c>
      <c r="C72" s="2"/>
      <c r="D72" s="2" t="s">
        <v>522</v>
      </c>
      <c r="E72" s="2" t="s">
        <v>356</v>
      </c>
      <c r="F72" s="2">
        <v>47274.0</v>
      </c>
      <c r="G72" s="2" t="s">
        <v>357</v>
      </c>
    </row>
    <row r="73" ht="15.75" customHeight="1">
      <c r="A73" s="2" t="s">
        <v>523</v>
      </c>
      <c r="B73" s="2" t="s">
        <v>524</v>
      </c>
      <c r="C73" s="2"/>
      <c r="D73" s="2" t="s">
        <v>355</v>
      </c>
      <c r="E73" s="2" t="s">
        <v>356</v>
      </c>
      <c r="F73" s="2">
        <v>46222.0</v>
      </c>
      <c r="G73" s="2" t="s">
        <v>357</v>
      </c>
    </row>
    <row r="74" ht="15.75" customHeight="1">
      <c r="A74" s="2" t="s">
        <v>525</v>
      </c>
      <c r="B74" s="2" t="s">
        <v>524</v>
      </c>
      <c r="C74" s="2" t="s">
        <v>526</v>
      </c>
      <c r="D74" s="2" t="s">
        <v>355</v>
      </c>
      <c r="E74" s="2" t="s">
        <v>356</v>
      </c>
      <c r="F74" s="2" t="s">
        <v>527</v>
      </c>
      <c r="G74" s="2" t="s">
        <v>357</v>
      </c>
    </row>
    <row r="75" ht="15.75" customHeight="1">
      <c r="A75" s="2" t="s">
        <v>528</v>
      </c>
      <c r="B75" s="2" t="s">
        <v>529</v>
      </c>
      <c r="C75" s="2" t="s">
        <v>530</v>
      </c>
      <c r="D75" s="2" t="s">
        <v>355</v>
      </c>
      <c r="E75" s="2" t="s">
        <v>356</v>
      </c>
      <c r="F75" s="2">
        <v>46201.0</v>
      </c>
      <c r="G75" s="2" t="s">
        <v>357</v>
      </c>
    </row>
    <row r="76" ht="15.75" customHeight="1">
      <c r="A76" s="2" t="s">
        <v>531</v>
      </c>
      <c r="B76" s="2" t="s">
        <v>532</v>
      </c>
      <c r="C76" s="2"/>
      <c r="D76" s="2" t="s">
        <v>355</v>
      </c>
      <c r="E76" s="2" t="s">
        <v>356</v>
      </c>
      <c r="F76" s="2">
        <v>46222.0</v>
      </c>
      <c r="G76" s="2" t="s">
        <v>357</v>
      </c>
    </row>
    <row r="77" ht="15.75" customHeight="1">
      <c r="A77" s="2" t="s">
        <v>533</v>
      </c>
      <c r="B77" s="2" t="s">
        <v>534</v>
      </c>
      <c r="C77" s="2" t="s">
        <v>498</v>
      </c>
      <c r="D77" s="2" t="s">
        <v>355</v>
      </c>
      <c r="E77" s="2" t="s">
        <v>356</v>
      </c>
      <c r="F77" s="2">
        <v>46224.0</v>
      </c>
      <c r="G77" s="2" t="s">
        <v>357</v>
      </c>
    </row>
    <row r="78" ht="15.75" customHeight="1">
      <c r="A78" s="2" t="s">
        <v>535</v>
      </c>
      <c r="B78" s="2" t="s">
        <v>536</v>
      </c>
      <c r="C78" s="2"/>
      <c r="D78" s="2" t="s">
        <v>355</v>
      </c>
      <c r="E78" s="2" t="s">
        <v>356</v>
      </c>
      <c r="F78" s="2">
        <v>46224.0</v>
      </c>
      <c r="G78" s="2" t="s">
        <v>357</v>
      </c>
    </row>
    <row r="79" ht="15.75" customHeight="1">
      <c r="A79" s="2" t="s">
        <v>537</v>
      </c>
      <c r="B79" s="2" t="s">
        <v>538</v>
      </c>
      <c r="C79" s="2"/>
      <c r="D79" s="2" t="s">
        <v>539</v>
      </c>
      <c r="E79" s="2" t="s">
        <v>356</v>
      </c>
      <c r="F79" s="2">
        <v>46037.0</v>
      </c>
      <c r="G79" s="2" t="s">
        <v>357</v>
      </c>
    </row>
    <row r="80" ht="15.75" customHeight="1">
      <c r="A80" s="2" t="s">
        <v>540</v>
      </c>
      <c r="B80" s="2" t="s">
        <v>541</v>
      </c>
      <c r="C80" s="2"/>
      <c r="D80" s="2" t="s">
        <v>355</v>
      </c>
      <c r="E80" s="2" t="s">
        <v>356</v>
      </c>
      <c r="F80" s="2">
        <v>46241.0</v>
      </c>
      <c r="G80" s="2" t="s">
        <v>357</v>
      </c>
    </row>
    <row r="81" ht="15.75" customHeight="1">
      <c r="A81" s="2" t="s">
        <v>542</v>
      </c>
      <c r="B81" s="2" t="s">
        <v>543</v>
      </c>
      <c r="C81" s="2"/>
      <c r="D81" s="2" t="s">
        <v>355</v>
      </c>
      <c r="E81" s="2" t="s">
        <v>356</v>
      </c>
      <c r="F81" s="2" t="s">
        <v>544</v>
      </c>
      <c r="G81" s="2" t="s">
        <v>357</v>
      </c>
    </row>
    <row r="82" ht="15.75" customHeight="1">
      <c r="A82" s="2" t="s">
        <v>545</v>
      </c>
      <c r="B82" s="2" t="s">
        <v>546</v>
      </c>
      <c r="C82" s="2"/>
      <c r="D82" s="2" t="s">
        <v>355</v>
      </c>
      <c r="E82" s="2" t="s">
        <v>356</v>
      </c>
      <c r="F82" s="2">
        <v>46222.0</v>
      </c>
      <c r="G82" s="2" t="s">
        <v>357</v>
      </c>
    </row>
    <row r="83" ht="15.75" customHeight="1">
      <c r="A83" s="2" t="s">
        <v>547</v>
      </c>
      <c r="B83" s="2" t="s">
        <v>548</v>
      </c>
      <c r="C83" s="2"/>
      <c r="D83" s="2" t="s">
        <v>355</v>
      </c>
      <c r="E83" s="2" t="s">
        <v>356</v>
      </c>
      <c r="F83" s="2">
        <v>46260.0</v>
      </c>
      <c r="G83" s="2" t="s">
        <v>357</v>
      </c>
    </row>
    <row r="84" ht="15.75" customHeight="1">
      <c r="A84" s="2" t="s">
        <v>549</v>
      </c>
      <c r="B84" s="2" t="s">
        <v>550</v>
      </c>
      <c r="C84" s="2"/>
      <c r="D84" s="2" t="s">
        <v>551</v>
      </c>
      <c r="E84" s="2" t="s">
        <v>356</v>
      </c>
      <c r="F84" s="2" t="s">
        <v>552</v>
      </c>
      <c r="G84" s="2" t="s">
        <v>357</v>
      </c>
    </row>
    <row r="85" ht="15.75" customHeight="1">
      <c r="A85" s="2" t="s">
        <v>553</v>
      </c>
      <c r="B85" s="2" t="s">
        <v>554</v>
      </c>
      <c r="C85" s="2"/>
      <c r="D85" s="2" t="s">
        <v>355</v>
      </c>
      <c r="E85" s="2" t="s">
        <v>356</v>
      </c>
      <c r="F85" s="2">
        <v>46222.0</v>
      </c>
      <c r="G85" s="2" t="s">
        <v>357</v>
      </c>
    </row>
    <row r="86" ht="15.75" customHeight="1">
      <c r="A86" s="2" t="s">
        <v>555</v>
      </c>
      <c r="B86" s="2" t="s">
        <v>556</v>
      </c>
      <c r="C86" s="2"/>
      <c r="D86" s="2" t="s">
        <v>557</v>
      </c>
      <c r="E86" s="2" t="s">
        <v>356</v>
      </c>
      <c r="F86" s="2" t="s">
        <v>558</v>
      </c>
      <c r="G86" s="2" t="s">
        <v>357</v>
      </c>
    </row>
    <row r="87" ht="15.75" customHeight="1">
      <c r="A87" s="2" t="s">
        <v>559</v>
      </c>
      <c r="B87" s="2" t="s">
        <v>560</v>
      </c>
      <c r="C87" s="2" t="s">
        <v>561</v>
      </c>
      <c r="D87" s="2" t="s">
        <v>562</v>
      </c>
      <c r="E87" s="2" t="s">
        <v>356</v>
      </c>
      <c r="F87" s="2">
        <v>47201.0</v>
      </c>
      <c r="G87" s="2" t="s">
        <v>357</v>
      </c>
    </row>
    <row r="88" ht="15.75" customHeight="1">
      <c r="A88" s="2" t="s">
        <v>563</v>
      </c>
      <c r="B88" s="2" t="s">
        <v>564</v>
      </c>
      <c r="C88" s="2"/>
      <c r="D88" s="2" t="s">
        <v>355</v>
      </c>
      <c r="E88" s="2" t="s">
        <v>356</v>
      </c>
      <c r="F88" s="2" t="s">
        <v>565</v>
      </c>
      <c r="G88" s="2" t="s">
        <v>357</v>
      </c>
    </row>
    <row r="89" ht="15.75" customHeight="1">
      <c r="A89" s="2" t="s">
        <v>566</v>
      </c>
      <c r="B89" s="2" t="s">
        <v>567</v>
      </c>
      <c r="C89" s="2"/>
      <c r="D89" s="2" t="s">
        <v>568</v>
      </c>
      <c r="E89" s="2" t="s">
        <v>356</v>
      </c>
      <c r="F89" s="2">
        <v>46041.0</v>
      </c>
      <c r="G89" s="2" t="s">
        <v>357</v>
      </c>
    </row>
    <row r="90" ht="15.75" customHeight="1">
      <c r="A90" s="2" t="s">
        <v>569</v>
      </c>
      <c r="B90" s="2" t="s">
        <v>560</v>
      </c>
      <c r="C90" s="2">
        <v>11.0</v>
      </c>
      <c r="D90" s="2" t="s">
        <v>562</v>
      </c>
      <c r="E90" s="2" t="s">
        <v>356</v>
      </c>
      <c r="F90" s="2">
        <v>47201.0</v>
      </c>
      <c r="G90" s="2" t="s">
        <v>357</v>
      </c>
    </row>
    <row r="91" ht="15.75" customHeight="1">
      <c r="A91" s="2" t="s">
        <v>570</v>
      </c>
      <c r="B91" s="2" t="s">
        <v>571</v>
      </c>
      <c r="C91" s="2"/>
      <c r="D91" s="2" t="s">
        <v>572</v>
      </c>
      <c r="E91" s="2" t="s">
        <v>356</v>
      </c>
      <c r="F91" s="2">
        <v>47220.0</v>
      </c>
      <c r="G91" s="2" t="s">
        <v>357</v>
      </c>
    </row>
    <row r="92" ht="15.75" customHeight="1">
      <c r="A92" s="2" t="s">
        <v>573</v>
      </c>
      <c r="B92" s="2" t="s">
        <v>440</v>
      </c>
      <c r="C92" s="2">
        <v>730.0</v>
      </c>
      <c r="D92" s="2" t="s">
        <v>355</v>
      </c>
      <c r="E92" s="2" t="s">
        <v>356</v>
      </c>
      <c r="F92" s="2">
        <v>46222.0</v>
      </c>
      <c r="G92" s="2" t="s">
        <v>357</v>
      </c>
    </row>
    <row r="93" ht="15.75" customHeight="1">
      <c r="A93" s="2" t="s">
        <v>574</v>
      </c>
      <c r="B93" s="2" t="s">
        <v>575</v>
      </c>
      <c r="C93" s="2"/>
      <c r="D93" s="2" t="s">
        <v>355</v>
      </c>
      <c r="E93" s="2" t="s">
        <v>356</v>
      </c>
      <c r="F93" s="2">
        <v>46222.0</v>
      </c>
      <c r="G93" s="2" t="s">
        <v>357</v>
      </c>
    </row>
    <row r="94" ht="15.75" customHeight="1">
      <c r="A94" s="2" t="s">
        <v>576</v>
      </c>
      <c r="B94" s="2" t="s">
        <v>577</v>
      </c>
      <c r="C94" s="2"/>
      <c r="D94" s="2" t="s">
        <v>355</v>
      </c>
      <c r="E94" s="2" t="s">
        <v>356</v>
      </c>
      <c r="F94" s="2">
        <v>46201.0</v>
      </c>
      <c r="G94" s="2" t="s">
        <v>357</v>
      </c>
    </row>
    <row r="95" ht="15.75" customHeight="1">
      <c r="A95" s="2" t="s">
        <v>578</v>
      </c>
      <c r="B95" s="2" t="s">
        <v>579</v>
      </c>
      <c r="C95" s="2"/>
      <c r="D95" s="2" t="s">
        <v>355</v>
      </c>
      <c r="E95" s="2" t="s">
        <v>356</v>
      </c>
      <c r="F95" s="2">
        <v>46218.0</v>
      </c>
      <c r="G95" s="2" t="s">
        <v>357</v>
      </c>
    </row>
    <row r="96" ht="15.75" customHeight="1">
      <c r="A96" s="2" t="s">
        <v>580</v>
      </c>
      <c r="B96" s="2" t="s">
        <v>577</v>
      </c>
      <c r="C96" s="2"/>
      <c r="D96" s="2" t="s">
        <v>355</v>
      </c>
      <c r="E96" s="2" t="s">
        <v>356</v>
      </c>
      <c r="F96" s="2">
        <v>46201.0</v>
      </c>
      <c r="G96" s="2" t="s">
        <v>357</v>
      </c>
    </row>
    <row r="97" ht="15.75" customHeight="1">
      <c r="A97" s="2" t="s">
        <v>581</v>
      </c>
      <c r="B97" s="2" t="s">
        <v>582</v>
      </c>
      <c r="C97" s="2"/>
      <c r="D97" s="2" t="s">
        <v>583</v>
      </c>
      <c r="E97" s="2" t="s">
        <v>356</v>
      </c>
      <c r="F97" s="2">
        <v>46176.0</v>
      </c>
      <c r="G97" s="2" t="s">
        <v>357</v>
      </c>
    </row>
    <row r="98" ht="15.75" customHeight="1">
      <c r="A98" s="2" t="s">
        <v>584</v>
      </c>
      <c r="B98" s="2" t="s">
        <v>585</v>
      </c>
      <c r="C98" s="2"/>
      <c r="D98" s="2" t="s">
        <v>586</v>
      </c>
      <c r="E98" s="2" t="s">
        <v>356</v>
      </c>
      <c r="F98" s="2">
        <v>46113.0</v>
      </c>
      <c r="G98" s="2" t="s">
        <v>357</v>
      </c>
    </row>
    <row r="99" ht="15.75" customHeight="1">
      <c r="A99" s="2" t="s">
        <v>587</v>
      </c>
      <c r="B99" s="2" t="s">
        <v>588</v>
      </c>
      <c r="C99" s="2"/>
      <c r="D99" s="2" t="s">
        <v>355</v>
      </c>
      <c r="E99" s="2" t="s">
        <v>356</v>
      </c>
      <c r="F99" s="2">
        <v>46225.0</v>
      </c>
      <c r="G99" s="2" t="s">
        <v>357</v>
      </c>
    </row>
    <row r="100" ht="15.75" customHeight="1">
      <c r="A100" s="2" t="s">
        <v>589</v>
      </c>
      <c r="B100" s="2" t="s">
        <v>590</v>
      </c>
      <c r="C100" s="2" t="s">
        <v>591</v>
      </c>
      <c r="D100" s="2" t="s">
        <v>355</v>
      </c>
      <c r="E100" s="2" t="s">
        <v>356</v>
      </c>
      <c r="F100" s="2">
        <v>46254.0</v>
      </c>
      <c r="G100" s="2" t="s">
        <v>357</v>
      </c>
    </row>
    <row r="101" ht="15.75" customHeight="1">
      <c r="A101" s="2" t="s">
        <v>592</v>
      </c>
      <c r="B101" s="2" t="s">
        <v>593</v>
      </c>
      <c r="C101" s="2"/>
      <c r="D101" s="2" t="s">
        <v>355</v>
      </c>
      <c r="E101" s="2" t="s">
        <v>356</v>
      </c>
      <c r="F101" s="2">
        <v>46268.0</v>
      </c>
      <c r="G101" s="2" t="s">
        <v>357</v>
      </c>
    </row>
    <row r="102" ht="15.75" customHeight="1">
      <c r="A102" s="2" t="s">
        <v>594</v>
      </c>
      <c r="B102" s="2" t="s">
        <v>440</v>
      </c>
      <c r="C102" s="2"/>
      <c r="D102" s="2" t="s">
        <v>355</v>
      </c>
      <c r="E102" s="2" t="s">
        <v>356</v>
      </c>
      <c r="F102" s="2">
        <v>46222.0</v>
      </c>
      <c r="G102" s="2" t="s">
        <v>357</v>
      </c>
    </row>
    <row r="103" ht="15.75" customHeight="1">
      <c r="A103" s="2" t="s">
        <v>595</v>
      </c>
      <c r="B103" s="2" t="s">
        <v>596</v>
      </c>
      <c r="C103" s="2"/>
      <c r="D103" s="2" t="s">
        <v>355</v>
      </c>
      <c r="E103" s="2" t="s">
        <v>356</v>
      </c>
      <c r="F103" s="2" t="s">
        <v>597</v>
      </c>
      <c r="G103" s="2" t="s">
        <v>357</v>
      </c>
    </row>
    <row r="104" ht="15.75" customHeight="1">
      <c r="A104" s="2" t="s">
        <v>598</v>
      </c>
      <c r="B104" s="2" t="s">
        <v>599</v>
      </c>
      <c r="C104" s="2"/>
      <c r="D104" s="2" t="s">
        <v>355</v>
      </c>
      <c r="E104" s="2" t="s">
        <v>356</v>
      </c>
      <c r="F104" s="2">
        <v>46224.0</v>
      </c>
      <c r="G104" s="2" t="s">
        <v>357</v>
      </c>
    </row>
    <row r="105" ht="15.75" customHeight="1">
      <c r="A105" s="2" t="s">
        <v>600</v>
      </c>
      <c r="B105" s="2" t="s">
        <v>601</v>
      </c>
      <c r="C105" s="2" t="s">
        <v>602</v>
      </c>
      <c r="D105" s="2" t="s">
        <v>355</v>
      </c>
      <c r="E105" s="2" t="s">
        <v>356</v>
      </c>
      <c r="F105" s="2">
        <v>46222.0</v>
      </c>
      <c r="G105" s="2" t="s">
        <v>357</v>
      </c>
    </row>
    <row r="106" ht="15.75" customHeight="1">
      <c r="A106" s="2" t="s">
        <v>603</v>
      </c>
      <c r="B106" s="2" t="s">
        <v>440</v>
      </c>
      <c r="C106" s="2"/>
      <c r="D106" s="2" t="s">
        <v>355</v>
      </c>
      <c r="E106" s="2" t="s">
        <v>356</v>
      </c>
      <c r="F106" s="2">
        <v>46222.0</v>
      </c>
      <c r="G106" s="2" t="s">
        <v>357</v>
      </c>
    </row>
    <row r="107" ht="15.75" customHeight="1">
      <c r="A107" s="2" t="s">
        <v>604</v>
      </c>
      <c r="B107" s="2" t="s">
        <v>605</v>
      </c>
      <c r="C107" s="2" t="s">
        <v>606</v>
      </c>
      <c r="D107" s="2" t="s">
        <v>539</v>
      </c>
      <c r="E107" s="2" t="s">
        <v>356</v>
      </c>
      <c r="F107" s="2" t="s">
        <v>607</v>
      </c>
      <c r="G107" s="2" t="s">
        <v>357</v>
      </c>
    </row>
    <row r="108" ht="15.75" customHeight="1">
      <c r="A108" s="2" t="s">
        <v>608</v>
      </c>
      <c r="B108" s="2" t="s">
        <v>609</v>
      </c>
      <c r="C108" s="2"/>
      <c r="D108" s="2" t="s">
        <v>355</v>
      </c>
      <c r="E108" s="2" t="s">
        <v>356</v>
      </c>
      <c r="F108" s="2">
        <v>46222.0</v>
      </c>
      <c r="G108" s="2" t="s">
        <v>357</v>
      </c>
    </row>
    <row r="109" ht="15.75" customHeight="1">
      <c r="A109" s="2" t="s">
        <v>610</v>
      </c>
      <c r="B109" s="2" t="s">
        <v>611</v>
      </c>
      <c r="C109" s="2"/>
      <c r="D109" s="2" t="s">
        <v>355</v>
      </c>
      <c r="E109" s="2" t="s">
        <v>356</v>
      </c>
      <c r="F109" s="2">
        <v>46226.0</v>
      </c>
      <c r="G109" s="2" t="s">
        <v>357</v>
      </c>
    </row>
    <row r="110" ht="15.75" customHeight="1">
      <c r="A110" s="2" t="s">
        <v>612</v>
      </c>
      <c r="B110" s="2" t="s">
        <v>613</v>
      </c>
      <c r="C110" s="2" t="s">
        <v>614</v>
      </c>
      <c r="D110" s="2" t="s">
        <v>355</v>
      </c>
      <c r="E110" s="2" t="s">
        <v>356</v>
      </c>
      <c r="F110" s="2">
        <v>46214.0</v>
      </c>
      <c r="G110" s="2" t="s">
        <v>357</v>
      </c>
    </row>
    <row r="111" ht="15.75" customHeight="1">
      <c r="A111" s="2" t="s">
        <v>615</v>
      </c>
      <c r="B111" s="2" t="s">
        <v>616</v>
      </c>
      <c r="C111" s="2" t="s">
        <v>617</v>
      </c>
      <c r="D111" s="2" t="s">
        <v>618</v>
      </c>
      <c r="E111" s="2" t="s">
        <v>619</v>
      </c>
      <c r="F111" s="2">
        <v>60612.0</v>
      </c>
      <c r="G111" s="2" t="s">
        <v>357</v>
      </c>
    </row>
    <row r="112" ht="15.75" customHeight="1">
      <c r="A112" s="2" t="s">
        <v>620</v>
      </c>
      <c r="B112" s="2" t="s">
        <v>621</v>
      </c>
      <c r="C112" s="2"/>
      <c r="D112" s="2" t="s">
        <v>355</v>
      </c>
      <c r="E112" s="2" t="s">
        <v>356</v>
      </c>
      <c r="F112" s="2">
        <v>46227.0</v>
      </c>
      <c r="G112" s="2" t="s">
        <v>357</v>
      </c>
    </row>
    <row r="113" ht="15.75" customHeight="1">
      <c r="A113" s="2" t="s">
        <v>622</v>
      </c>
      <c r="B113" s="2" t="s">
        <v>623</v>
      </c>
      <c r="C113" s="2"/>
      <c r="D113" s="2" t="s">
        <v>355</v>
      </c>
      <c r="E113" s="2" t="s">
        <v>356</v>
      </c>
      <c r="F113" s="2">
        <v>46241.0</v>
      </c>
      <c r="G113" s="2" t="s">
        <v>357</v>
      </c>
    </row>
    <row r="114" ht="15.75" customHeight="1">
      <c r="A114" s="2" t="s">
        <v>624</v>
      </c>
      <c r="B114" s="2" t="s">
        <v>625</v>
      </c>
      <c r="C114" s="2"/>
      <c r="D114" s="2" t="s">
        <v>355</v>
      </c>
      <c r="E114" s="2" t="s">
        <v>356</v>
      </c>
      <c r="F114" s="2">
        <v>46260.0</v>
      </c>
      <c r="G114" s="2" t="s">
        <v>357</v>
      </c>
    </row>
    <row r="115" ht="15.75" customHeight="1">
      <c r="A115" s="2" t="s">
        <v>626</v>
      </c>
      <c r="B115" s="2" t="s">
        <v>627</v>
      </c>
      <c r="C115" s="2" t="s">
        <v>498</v>
      </c>
      <c r="D115" s="2" t="s">
        <v>355</v>
      </c>
      <c r="E115" s="2" t="s">
        <v>356</v>
      </c>
      <c r="F115" s="2">
        <v>46254.0</v>
      </c>
      <c r="G115" s="2" t="s">
        <v>357</v>
      </c>
    </row>
    <row r="116" ht="15.75" customHeight="1">
      <c r="A116" s="2" t="s">
        <v>628</v>
      </c>
      <c r="B116" s="2" t="s">
        <v>629</v>
      </c>
      <c r="C116" s="2"/>
      <c r="D116" s="2" t="s">
        <v>355</v>
      </c>
      <c r="E116" s="2" t="s">
        <v>356</v>
      </c>
      <c r="F116" s="2">
        <v>46224.0</v>
      </c>
      <c r="G116" s="2" t="s">
        <v>357</v>
      </c>
    </row>
    <row r="117" ht="15.75" customHeight="1">
      <c r="A117" s="2" t="s">
        <v>630</v>
      </c>
      <c r="B117" s="2" t="s">
        <v>631</v>
      </c>
      <c r="C117" s="2"/>
      <c r="D117" s="2" t="s">
        <v>470</v>
      </c>
      <c r="E117" s="2" t="s">
        <v>356</v>
      </c>
      <c r="F117" s="2">
        <v>47909.0</v>
      </c>
      <c r="G117" s="2" t="s">
        <v>357</v>
      </c>
    </row>
    <row r="118" ht="15.75" customHeight="1">
      <c r="A118" s="2" t="s">
        <v>632</v>
      </c>
      <c r="B118" s="2" t="s">
        <v>633</v>
      </c>
      <c r="C118" s="2"/>
      <c r="D118" s="2" t="s">
        <v>355</v>
      </c>
      <c r="E118" s="2" t="s">
        <v>356</v>
      </c>
      <c r="F118" s="2">
        <v>46224.0</v>
      </c>
      <c r="G118" s="2" t="s">
        <v>357</v>
      </c>
    </row>
    <row r="119" ht="15.75" customHeight="1">
      <c r="A119" s="2" t="s">
        <v>634</v>
      </c>
      <c r="B119" s="2" t="s">
        <v>635</v>
      </c>
      <c r="C119" s="2" t="s">
        <v>602</v>
      </c>
      <c r="D119" s="2" t="s">
        <v>355</v>
      </c>
      <c r="E119" s="2" t="s">
        <v>356</v>
      </c>
      <c r="F119" s="2">
        <v>46224.0</v>
      </c>
      <c r="G119" s="2" t="s">
        <v>357</v>
      </c>
    </row>
    <row r="120" ht="15.75" customHeight="1">
      <c r="A120" s="2" t="s">
        <v>636</v>
      </c>
      <c r="B120" s="2" t="s">
        <v>637</v>
      </c>
      <c r="C120" s="2"/>
      <c r="D120" s="2" t="s">
        <v>355</v>
      </c>
      <c r="E120" s="2" t="s">
        <v>356</v>
      </c>
      <c r="F120" s="2">
        <v>46241.0</v>
      </c>
      <c r="G120" s="2" t="s">
        <v>357</v>
      </c>
    </row>
    <row r="121" ht="15.75" customHeight="1">
      <c r="A121" s="2" t="s">
        <v>638</v>
      </c>
      <c r="B121" s="2" t="s">
        <v>524</v>
      </c>
      <c r="C121" s="2" t="s">
        <v>639</v>
      </c>
      <c r="D121" s="2" t="s">
        <v>355</v>
      </c>
      <c r="E121" s="2" t="s">
        <v>356</v>
      </c>
      <c r="F121" s="2">
        <v>46222.0</v>
      </c>
      <c r="G121" s="2" t="s">
        <v>357</v>
      </c>
    </row>
    <row r="122" ht="15.75" customHeight="1">
      <c r="A122" s="2" t="s">
        <v>640</v>
      </c>
      <c r="B122" s="2" t="s">
        <v>641</v>
      </c>
      <c r="C122" s="2"/>
      <c r="D122" s="2" t="s">
        <v>355</v>
      </c>
      <c r="E122" s="2" t="s">
        <v>356</v>
      </c>
      <c r="F122" s="2">
        <v>46240.0</v>
      </c>
      <c r="G122" s="2" t="s">
        <v>357</v>
      </c>
    </row>
    <row r="123" ht="15.75" customHeight="1">
      <c r="A123" s="2" t="s">
        <v>642</v>
      </c>
      <c r="B123" s="2" t="s">
        <v>643</v>
      </c>
      <c r="C123" s="2"/>
      <c r="D123" s="2" t="s">
        <v>355</v>
      </c>
      <c r="E123" s="2" t="s">
        <v>356</v>
      </c>
      <c r="F123" s="2">
        <v>46224.0</v>
      </c>
      <c r="G123" s="2" t="s">
        <v>357</v>
      </c>
    </row>
    <row r="124" ht="15.75" customHeight="1">
      <c r="A124" s="2" t="s">
        <v>644</v>
      </c>
      <c r="B124" s="2" t="s">
        <v>645</v>
      </c>
      <c r="C124" s="2"/>
      <c r="D124" s="2" t="s">
        <v>355</v>
      </c>
      <c r="E124" s="2" t="s">
        <v>356</v>
      </c>
      <c r="F124" s="2">
        <v>46222.0</v>
      </c>
      <c r="G124" s="2" t="s">
        <v>357</v>
      </c>
    </row>
    <row r="125" ht="15.75" customHeight="1">
      <c r="A125" s="2" t="s">
        <v>646</v>
      </c>
      <c r="B125" s="2" t="s">
        <v>647</v>
      </c>
      <c r="C125" s="2"/>
      <c r="D125" s="2" t="s">
        <v>355</v>
      </c>
      <c r="E125" s="2" t="s">
        <v>356</v>
      </c>
      <c r="F125" s="2">
        <v>46219.0</v>
      </c>
      <c r="G125" s="2" t="s">
        <v>357</v>
      </c>
    </row>
    <row r="126" ht="15.75" customHeight="1">
      <c r="A126" s="2" t="s">
        <v>648</v>
      </c>
      <c r="B126" s="2" t="s">
        <v>649</v>
      </c>
      <c r="C126" s="2"/>
      <c r="D126" s="2" t="s">
        <v>355</v>
      </c>
      <c r="E126" s="2" t="s">
        <v>356</v>
      </c>
      <c r="F126" s="2">
        <v>46254.0</v>
      </c>
      <c r="G126" s="2" t="s">
        <v>357</v>
      </c>
    </row>
    <row r="127" ht="15.75" customHeight="1">
      <c r="A127" s="2" t="s">
        <v>650</v>
      </c>
      <c r="B127" s="2" t="s">
        <v>651</v>
      </c>
      <c r="C127" s="2"/>
      <c r="D127" s="2" t="s">
        <v>355</v>
      </c>
      <c r="E127" s="2" t="s">
        <v>356</v>
      </c>
      <c r="F127" s="2">
        <v>46235.0</v>
      </c>
      <c r="G127" s="2" t="s">
        <v>357</v>
      </c>
    </row>
    <row r="128" ht="15.75" customHeight="1">
      <c r="A128" s="2" t="s">
        <v>652</v>
      </c>
      <c r="B128" s="2" t="s">
        <v>653</v>
      </c>
      <c r="C128" s="2"/>
      <c r="D128" s="2" t="s">
        <v>355</v>
      </c>
      <c r="E128" s="2" t="s">
        <v>356</v>
      </c>
      <c r="F128" s="2">
        <v>46254.0</v>
      </c>
      <c r="G128" s="2" t="s">
        <v>357</v>
      </c>
    </row>
    <row r="129" ht="15.75" customHeight="1">
      <c r="A129" s="2" t="s">
        <v>654</v>
      </c>
      <c r="B129" s="2" t="s">
        <v>655</v>
      </c>
      <c r="C129" s="2"/>
      <c r="D129" s="2" t="s">
        <v>562</v>
      </c>
      <c r="E129" s="2" t="s">
        <v>356</v>
      </c>
      <c r="F129" s="2">
        <v>47201.0</v>
      </c>
      <c r="G129" s="2" t="s">
        <v>357</v>
      </c>
    </row>
    <row r="130" ht="15.75" customHeight="1">
      <c r="A130" s="2" t="s">
        <v>656</v>
      </c>
      <c r="B130" s="2" t="s">
        <v>657</v>
      </c>
      <c r="C130" s="2"/>
      <c r="D130" s="2" t="s">
        <v>562</v>
      </c>
      <c r="E130" s="2" t="s">
        <v>356</v>
      </c>
      <c r="F130" s="2">
        <v>47201.0</v>
      </c>
      <c r="G130" s="2" t="s">
        <v>357</v>
      </c>
    </row>
    <row r="131" ht="15.75" customHeight="1">
      <c r="A131" s="2" t="s">
        <v>658</v>
      </c>
      <c r="B131" s="2" t="s">
        <v>508</v>
      </c>
      <c r="C131" s="2"/>
      <c r="D131" s="2" t="s">
        <v>355</v>
      </c>
      <c r="E131" s="2" t="s">
        <v>356</v>
      </c>
      <c r="F131" s="2">
        <v>46240.0</v>
      </c>
      <c r="G131" s="2" t="s">
        <v>357</v>
      </c>
    </row>
    <row r="132" ht="15.75" customHeight="1">
      <c r="A132" s="2" t="s">
        <v>659</v>
      </c>
      <c r="B132" s="2" t="s">
        <v>660</v>
      </c>
      <c r="C132" s="2"/>
      <c r="D132" s="2" t="s">
        <v>661</v>
      </c>
      <c r="E132" s="2" t="s">
        <v>356</v>
      </c>
      <c r="F132" s="2">
        <v>47501.0</v>
      </c>
      <c r="G132" s="2" t="s">
        <v>357</v>
      </c>
    </row>
    <row r="133" ht="15.75" customHeight="1">
      <c r="A133" s="2" t="s">
        <v>662</v>
      </c>
      <c r="B133" s="2" t="s">
        <v>663</v>
      </c>
      <c r="C133" s="2"/>
      <c r="D133" s="2" t="s">
        <v>355</v>
      </c>
      <c r="E133" s="2" t="s">
        <v>356</v>
      </c>
      <c r="F133" s="2">
        <v>46224.0</v>
      </c>
      <c r="G133" s="2" t="s">
        <v>357</v>
      </c>
    </row>
    <row r="134" ht="15.75" customHeight="1">
      <c r="A134" s="2" t="s">
        <v>664</v>
      </c>
      <c r="B134" s="2" t="s">
        <v>665</v>
      </c>
      <c r="C134" s="2"/>
      <c r="D134" s="2" t="s">
        <v>355</v>
      </c>
      <c r="E134" s="2" t="s">
        <v>356</v>
      </c>
      <c r="F134" s="2">
        <v>46222.0</v>
      </c>
      <c r="G134" s="2" t="s">
        <v>357</v>
      </c>
    </row>
    <row r="135" ht="15.75" customHeight="1">
      <c r="A135" s="2" t="s">
        <v>664</v>
      </c>
      <c r="B135" s="2" t="s">
        <v>524</v>
      </c>
      <c r="C135" s="2" t="s">
        <v>666</v>
      </c>
      <c r="D135" s="2" t="s">
        <v>355</v>
      </c>
      <c r="E135" s="2" t="s">
        <v>356</v>
      </c>
      <c r="F135" s="2" t="s">
        <v>527</v>
      </c>
      <c r="G135" s="2" t="s">
        <v>357</v>
      </c>
    </row>
    <row r="136" ht="15.75" customHeight="1">
      <c r="A136" s="2" t="s">
        <v>667</v>
      </c>
      <c r="B136" s="2" t="s">
        <v>668</v>
      </c>
      <c r="C136" s="2"/>
      <c r="D136" s="2" t="s">
        <v>355</v>
      </c>
      <c r="E136" s="2" t="s">
        <v>356</v>
      </c>
      <c r="F136" s="2">
        <v>46222.0</v>
      </c>
      <c r="G136" s="2" t="s">
        <v>357</v>
      </c>
    </row>
    <row r="137" ht="15.75" customHeight="1">
      <c r="A137" s="2" t="s">
        <v>669</v>
      </c>
      <c r="B137" s="2" t="s">
        <v>670</v>
      </c>
      <c r="C137" s="2"/>
      <c r="D137" s="2" t="s">
        <v>355</v>
      </c>
      <c r="E137" s="2" t="s">
        <v>356</v>
      </c>
      <c r="F137" s="2">
        <v>46222.0</v>
      </c>
      <c r="G137" s="2" t="s">
        <v>357</v>
      </c>
    </row>
    <row r="138" ht="15.75" customHeight="1">
      <c r="A138" s="2" t="s">
        <v>671</v>
      </c>
      <c r="B138" s="2" t="s">
        <v>672</v>
      </c>
      <c r="C138" s="2"/>
      <c r="D138" s="2" t="s">
        <v>355</v>
      </c>
      <c r="E138" s="2" t="s">
        <v>356</v>
      </c>
      <c r="F138" s="2">
        <v>46268.0</v>
      </c>
      <c r="G138" s="2" t="s">
        <v>357</v>
      </c>
    </row>
    <row r="139" ht="15.75" customHeight="1">
      <c r="A139" s="2" t="s">
        <v>673</v>
      </c>
      <c r="B139" s="2" t="s">
        <v>674</v>
      </c>
      <c r="C139" s="2" t="s">
        <v>675</v>
      </c>
      <c r="D139" s="2" t="s">
        <v>355</v>
      </c>
      <c r="E139" s="2" t="s">
        <v>356</v>
      </c>
      <c r="F139" s="2">
        <v>46219.0</v>
      </c>
      <c r="G139" s="2" t="s">
        <v>357</v>
      </c>
    </row>
    <row r="140" ht="15.75" customHeight="1">
      <c r="A140" s="2" t="s">
        <v>676</v>
      </c>
      <c r="B140" s="2" t="s">
        <v>677</v>
      </c>
      <c r="C140" s="2">
        <v>40.0</v>
      </c>
      <c r="D140" s="2" t="s">
        <v>355</v>
      </c>
      <c r="E140" s="2" t="s">
        <v>356</v>
      </c>
      <c r="F140" s="2">
        <v>46225.0</v>
      </c>
      <c r="G140" s="2" t="s">
        <v>357</v>
      </c>
    </row>
    <row r="141" ht="15.75" customHeight="1">
      <c r="A141" s="2" t="s">
        <v>678</v>
      </c>
      <c r="B141" s="2" t="s">
        <v>679</v>
      </c>
      <c r="C141" s="2"/>
      <c r="D141" s="2" t="s">
        <v>355</v>
      </c>
      <c r="E141" s="2" t="s">
        <v>356</v>
      </c>
      <c r="F141" s="2">
        <v>46222.0</v>
      </c>
      <c r="G141" s="2" t="s">
        <v>357</v>
      </c>
    </row>
    <row r="142" ht="15.75" customHeight="1">
      <c r="A142" s="2" t="s">
        <v>680</v>
      </c>
      <c r="B142" s="2" t="s">
        <v>681</v>
      </c>
      <c r="C142" s="2"/>
      <c r="D142" s="2" t="s">
        <v>355</v>
      </c>
      <c r="E142" s="2" t="s">
        <v>356</v>
      </c>
      <c r="F142" s="2">
        <v>46218.0</v>
      </c>
      <c r="G142" s="2" t="s">
        <v>357</v>
      </c>
    </row>
    <row r="143" ht="15.75" customHeight="1">
      <c r="A143" s="2" t="s">
        <v>682</v>
      </c>
      <c r="B143" s="2" t="s">
        <v>683</v>
      </c>
      <c r="C143" s="2"/>
      <c r="D143" s="2" t="s">
        <v>355</v>
      </c>
      <c r="E143" s="2" t="s">
        <v>356</v>
      </c>
      <c r="F143" s="2">
        <v>46203.0</v>
      </c>
      <c r="G143" s="2" t="s">
        <v>357</v>
      </c>
    </row>
    <row r="144" ht="15.75" customHeight="1">
      <c r="A144" s="2" t="s">
        <v>684</v>
      </c>
      <c r="B144" s="2" t="s">
        <v>685</v>
      </c>
      <c r="C144" s="2"/>
      <c r="D144" s="2" t="s">
        <v>355</v>
      </c>
      <c r="E144" s="2" t="s">
        <v>356</v>
      </c>
      <c r="F144" s="2">
        <v>46241.0</v>
      </c>
      <c r="G144" s="2" t="s">
        <v>357</v>
      </c>
    </row>
    <row r="145" ht="15.75" customHeight="1">
      <c r="A145" s="2" t="s">
        <v>686</v>
      </c>
      <c r="B145" s="2" t="s">
        <v>524</v>
      </c>
      <c r="C145" s="2" t="s">
        <v>687</v>
      </c>
      <c r="D145" s="2" t="s">
        <v>355</v>
      </c>
      <c r="E145" s="2" t="s">
        <v>356</v>
      </c>
      <c r="F145" s="2" t="s">
        <v>527</v>
      </c>
      <c r="G145" s="2" t="s">
        <v>357</v>
      </c>
    </row>
    <row r="146" ht="15.75" customHeight="1">
      <c r="A146" s="2" t="s">
        <v>688</v>
      </c>
      <c r="B146" s="2" t="s">
        <v>524</v>
      </c>
      <c r="C146" s="2" t="s">
        <v>689</v>
      </c>
      <c r="D146" s="2" t="s">
        <v>355</v>
      </c>
      <c r="E146" s="2" t="s">
        <v>356</v>
      </c>
      <c r="F146" s="2">
        <v>46222.0</v>
      </c>
      <c r="G146" s="2" t="s">
        <v>357</v>
      </c>
    </row>
    <row r="147" ht="15.75" customHeight="1">
      <c r="A147" s="2" t="s">
        <v>690</v>
      </c>
      <c r="B147" s="2" t="s">
        <v>691</v>
      </c>
      <c r="C147" s="2"/>
      <c r="D147" s="2" t="s">
        <v>470</v>
      </c>
      <c r="E147" s="2" t="s">
        <v>356</v>
      </c>
      <c r="F147" s="2">
        <v>47909.0</v>
      </c>
      <c r="G147" s="2" t="s">
        <v>357</v>
      </c>
    </row>
    <row r="148" ht="15.75" customHeight="1">
      <c r="A148" s="2" t="s">
        <v>692</v>
      </c>
      <c r="B148" s="2" t="s">
        <v>693</v>
      </c>
      <c r="C148" s="2"/>
      <c r="D148" s="2" t="s">
        <v>355</v>
      </c>
      <c r="E148" s="2" t="s">
        <v>356</v>
      </c>
      <c r="F148" s="2">
        <v>46222.0</v>
      </c>
      <c r="G148" s="2" t="s">
        <v>357</v>
      </c>
    </row>
    <row r="149" ht="15.75" customHeight="1">
      <c r="A149" s="2" t="s">
        <v>694</v>
      </c>
      <c r="B149" s="2" t="s">
        <v>695</v>
      </c>
      <c r="C149" s="2"/>
      <c r="D149" s="2" t="s">
        <v>568</v>
      </c>
      <c r="E149" s="2" t="s">
        <v>356</v>
      </c>
      <c r="F149" s="2">
        <v>46041.0</v>
      </c>
      <c r="G149" s="2" t="s">
        <v>357</v>
      </c>
    </row>
    <row r="150" ht="15.75" customHeight="1">
      <c r="A150" s="2" t="s">
        <v>696</v>
      </c>
      <c r="B150" s="2" t="s">
        <v>524</v>
      </c>
      <c r="C150" s="2" t="s">
        <v>689</v>
      </c>
      <c r="D150" s="2" t="s">
        <v>355</v>
      </c>
      <c r="E150" s="2" t="s">
        <v>356</v>
      </c>
      <c r="F150" s="2" t="s">
        <v>527</v>
      </c>
      <c r="G150" s="2" t="s">
        <v>357</v>
      </c>
    </row>
    <row r="151" ht="15.75" customHeight="1">
      <c r="A151" s="2" t="s">
        <v>697</v>
      </c>
      <c r="B151" s="2" t="s">
        <v>698</v>
      </c>
      <c r="C151" s="2"/>
      <c r="D151" s="2" t="s">
        <v>355</v>
      </c>
      <c r="E151" s="2" t="s">
        <v>356</v>
      </c>
      <c r="F151" s="2">
        <v>46218.0</v>
      </c>
      <c r="G151" s="2" t="s">
        <v>357</v>
      </c>
    </row>
    <row r="152" ht="15.75" customHeight="1">
      <c r="A152" s="2" t="s">
        <v>699</v>
      </c>
      <c r="B152" s="2" t="s">
        <v>700</v>
      </c>
      <c r="C152" s="2"/>
      <c r="D152" s="2" t="s">
        <v>355</v>
      </c>
      <c r="E152" s="2" t="s">
        <v>356</v>
      </c>
      <c r="F152" s="2">
        <v>46224.0</v>
      </c>
      <c r="G152" s="2" t="s">
        <v>357</v>
      </c>
    </row>
    <row r="153" ht="15.75" customHeight="1">
      <c r="A153" s="2" t="s">
        <v>701</v>
      </c>
      <c r="B153" s="2" t="s">
        <v>702</v>
      </c>
      <c r="C153" s="2"/>
      <c r="D153" s="2" t="s">
        <v>355</v>
      </c>
      <c r="E153" s="2" t="s">
        <v>356</v>
      </c>
      <c r="F153" s="2">
        <v>46224.0</v>
      </c>
      <c r="G153" s="2" t="s">
        <v>357</v>
      </c>
    </row>
    <row r="154" ht="15.75" customHeight="1">
      <c r="A154" s="2" t="s">
        <v>703</v>
      </c>
      <c r="B154" s="2" t="s">
        <v>704</v>
      </c>
      <c r="C154" s="2"/>
      <c r="D154" s="2" t="s">
        <v>355</v>
      </c>
      <c r="E154" s="2" t="s">
        <v>356</v>
      </c>
      <c r="F154" s="2">
        <v>46224.0</v>
      </c>
      <c r="G154" s="2" t="s">
        <v>357</v>
      </c>
    </row>
    <row r="155" ht="15.75" customHeight="1">
      <c r="A155" s="2" t="s">
        <v>705</v>
      </c>
      <c r="B155" s="2" t="s">
        <v>706</v>
      </c>
      <c r="C155" s="2"/>
      <c r="D155" s="2" t="s">
        <v>355</v>
      </c>
      <c r="E155" s="2" t="s">
        <v>356</v>
      </c>
      <c r="F155" s="2">
        <v>46241.0</v>
      </c>
      <c r="G155" s="2" t="s">
        <v>357</v>
      </c>
    </row>
    <row r="156" ht="15.75" customHeight="1">
      <c r="A156" s="2" t="s">
        <v>707</v>
      </c>
      <c r="B156" s="2" t="s">
        <v>708</v>
      </c>
      <c r="C156" s="2"/>
      <c r="D156" s="2" t="s">
        <v>355</v>
      </c>
      <c r="E156" s="2" t="s">
        <v>356</v>
      </c>
      <c r="F156" s="2">
        <v>46254.0</v>
      </c>
      <c r="G156" s="2" t="s">
        <v>357</v>
      </c>
    </row>
    <row r="157" ht="15.75" customHeight="1">
      <c r="A157" s="2" t="s">
        <v>709</v>
      </c>
      <c r="B157" s="2" t="s">
        <v>710</v>
      </c>
      <c r="C157" s="2"/>
      <c r="D157" s="2" t="s">
        <v>355</v>
      </c>
      <c r="E157" s="2" t="s">
        <v>356</v>
      </c>
      <c r="F157" s="2">
        <v>46224.0</v>
      </c>
      <c r="G157" s="2" t="s">
        <v>357</v>
      </c>
    </row>
    <row r="158" ht="15.75" customHeight="1">
      <c r="A158" s="2" t="s">
        <v>711</v>
      </c>
      <c r="B158" s="2" t="s">
        <v>712</v>
      </c>
      <c r="C158" s="2">
        <v>3.0</v>
      </c>
      <c r="D158" s="2" t="s">
        <v>522</v>
      </c>
      <c r="E158" s="2" t="s">
        <v>356</v>
      </c>
      <c r="F158" s="2">
        <v>47274.0</v>
      </c>
      <c r="G158" s="2" t="s">
        <v>357</v>
      </c>
    </row>
    <row r="159" ht="15.75" customHeight="1">
      <c r="A159" s="2" t="s">
        <v>713</v>
      </c>
      <c r="B159" s="2" t="s">
        <v>714</v>
      </c>
      <c r="C159" s="2" t="s">
        <v>715</v>
      </c>
      <c r="D159" s="2" t="s">
        <v>355</v>
      </c>
      <c r="E159" s="2" t="s">
        <v>356</v>
      </c>
      <c r="F159" s="2">
        <v>46222.0</v>
      </c>
      <c r="G159" s="2" t="s">
        <v>357</v>
      </c>
    </row>
    <row r="160" ht="15.75" customHeight="1">
      <c r="A160" s="2" t="s">
        <v>716</v>
      </c>
      <c r="B160" s="2" t="s">
        <v>717</v>
      </c>
      <c r="C160" s="2"/>
      <c r="D160" s="2" t="s">
        <v>355</v>
      </c>
      <c r="E160" s="2" t="s">
        <v>356</v>
      </c>
      <c r="F160" s="2">
        <v>46222.0</v>
      </c>
      <c r="G160" s="2" t="s">
        <v>357</v>
      </c>
    </row>
    <row r="161" ht="15.75" customHeight="1">
      <c r="A161" s="2" t="s">
        <v>718</v>
      </c>
      <c r="B161" s="2" t="s">
        <v>719</v>
      </c>
      <c r="C161" s="2"/>
      <c r="D161" s="2" t="s">
        <v>720</v>
      </c>
      <c r="E161" s="2" t="s">
        <v>356</v>
      </c>
      <c r="F161" s="2">
        <v>46951.0</v>
      </c>
      <c r="G161" s="2" t="s">
        <v>357</v>
      </c>
    </row>
    <row r="162" ht="15.75" customHeight="1">
      <c r="A162" s="2" t="s">
        <v>721</v>
      </c>
      <c r="B162" s="2" t="s">
        <v>722</v>
      </c>
      <c r="C162" s="2"/>
      <c r="D162" s="2" t="s">
        <v>355</v>
      </c>
      <c r="E162" s="2" t="s">
        <v>356</v>
      </c>
      <c r="F162" s="2">
        <v>46201.0</v>
      </c>
      <c r="G162" s="2" t="s">
        <v>357</v>
      </c>
    </row>
    <row r="163" ht="15.75" customHeight="1">
      <c r="A163" s="2" t="s">
        <v>723</v>
      </c>
      <c r="B163" s="2" t="s">
        <v>724</v>
      </c>
      <c r="C163" s="2"/>
      <c r="D163" s="2" t="s">
        <v>355</v>
      </c>
      <c r="E163" s="2" t="s">
        <v>356</v>
      </c>
      <c r="F163" s="2">
        <v>46224.0</v>
      </c>
      <c r="G163" s="2" t="s">
        <v>357</v>
      </c>
    </row>
    <row r="164" ht="15.75" customHeight="1">
      <c r="A164" s="2" t="s">
        <v>725</v>
      </c>
      <c r="B164" s="2" t="s">
        <v>726</v>
      </c>
      <c r="C164" s="2"/>
      <c r="D164" s="2" t="s">
        <v>355</v>
      </c>
      <c r="E164" s="2" t="s">
        <v>356</v>
      </c>
      <c r="F164" s="2">
        <v>46224.0</v>
      </c>
      <c r="G164" s="2" t="s">
        <v>357</v>
      </c>
    </row>
    <row r="165" ht="15.75" customHeight="1">
      <c r="A165" s="2" t="s">
        <v>727</v>
      </c>
      <c r="B165" s="2" t="s">
        <v>728</v>
      </c>
      <c r="C165" s="2"/>
      <c r="D165" s="2" t="s">
        <v>355</v>
      </c>
      <c r="E165" s="2" t="s">
        <v>356</v>
      </c>
      <c r="F165" s="2">
        <v>46224.0</v>
      </c>
      <c r="G165" s="2" t="s">
        <v>357</v>
      </c>
    </row>
    <row r="166" ht="15.75" customHeight="1">
      <c r="A166" s="2" t="s">
        <v>729</v>
      </c>
      <c r="B166" s="2" t="s">
        <v>730</v>
      </c>
      <c r="C166" s="2">
        <v>6.0</v>
      </c>
      <c r="D166" s="2" t="s">
        <v>355</v>
      </c>
      <c r="E166" s="2" t="s">
        <v>356</v>
      </c>
      <c r="F166" s="2">
        <v>46254.0</v>
      </c>
      <c r="G166" s="2" t="s">
        <v>357</v>
      </c>
    </row>
    <row r="167" ht="15.75" customHeight="1">
      <c r="A167" s="2" t="s">
        <v>731</v>
      </c>
      <c r="B167" s="2" t="s">
        <v>732</v>
      </c>
      <c r="C167" s="2"/>
      <c r="D167" s="2" t="s">
        <v>522</v>
      </c>
      <c r="E167" s="2" t="s">
        <v>356</v>
      </c>
      <c r="F167" s="2" t="s">
        <v>733</v>
      </c>
      <c r="G167" s="2" t="s">
        <v>357</v>
      </c>
    </row>
    <row r="168" ht="15.75" customHeight="1">
      <c r="A168" s="2" t="s">
        <v>734</v>
      </c>
      <c r="B168" s="2" t="s">
        <v>735</v>
      </c>
      <c r="C168" s="2"/>
      <c r="D168" s="2" t="s">
        <v>355</v>
      </c>
      <c r="E168" s="2" t="s">
        <v>356</v>
      </c>
      <c r="F168" s="2">
        <v>46235.0</v>
      </c>
      <c r="G168" s="2" t="s">
        <v>357</v>
      </c>
    </row>
    <row r="169" ht="15.75" customHeight="1">
      <c r="A169" s="2" t="s">
        <v>736</v>
      </c>
      <c r="B169" s="2" t="s">
        <v>737</v>
      </c>
      <c r="C169" s="2"/>
      <c r="D169" s="2" t="s">
        <v>355</v>
      </c>
      <c r="E169" s="2" t="s">
        <v>356</v>
      </c>
      <c r="F169" s="2">
        <v>46222.0</v>
      </c>
      <c r="G169" s="2" t="s">
        <v>357</v>
      </c>
    </row>
    <row r="170" ht="15.75" customHeight="1">
      <c r="A170" s="2" t="s">
        <v>738</v>
      </c>
      <c r="B170" s="2" t="s">
        <v>739</v>
      </c>
      <c r="C170" s="2"/>
      <c r="D170" s="2" t="s">
        <v>740</v>
      </c>
      <c r="E170" s="2" t="s">
        <v>356</v>
      </c>
      <c r="F170" s="2">
        <v>46016.0</v>
      </c>
      <c r="G170" s="2" t="s">
        <v>357</v>
      </c>
    </row>
    <row r="171" ht="15.75" customHeight="1">
      <c r="A171" s="2" t="s">
        <v>741</v>
      </c>
      <c r="B171" s="2" t="s">
        <v>742</v>
      </c>
      <c r="C171" s="2"/>
      <c r="D171" s="2" t="s">
        <v>355</v>
      </c>
      <c r="E171" s="2" t="s">
        <v>356</v>
      </c>
      <c r="F171" s="2">
        <v>46224.0</v>
      </c>
      <c r="G171" s="2" t="s">
        <v>357</v>
      </c>
    </row>
    <row r="172" ht="15.75" customHeight="1">
      <c r="A172" s="2" t="s">
        <v>743</v>
      </c>
      <c r="B172" s="2" t="s">
        <v>744</v>
      </c>
      <c r="C172" s="2"/>
      <c r="D172" s="2" t="s">
        <v>355</v>
      </c>
      <c r="E172" s="2" t="s">
        <v>356</v>
      </c>
      <c r="F172" s="2">
        <v>46222.0</v>
      </c>
      <c r="G172" s="2" t="s">
        <v>357</v>
      </c>
    </row>
    <row r="173" ht="15.75" customHeight="1">
      <c r="A173" s="2" t="s">
        <v>745</v>
      </c>
      <c r="B173" s="2" t="s">
        <v>746</v>
      </c>
      <c r="C173" s="2"/>
      <c r="D173" s="2" t="s">
        <v>747</v>
      </c>
      <c r="E173" s="2" t="s">
        <v>356</v>
      </c>
      <c r="F173" s="2">
        <v>46074.0</v>
      </c>
      <c r="G173" s="2" t="s">
        <v>357</v>
      </c>
    </row>
    <row r="174" ht="15.75" customHeight="1">
      <c r="A174" s="2" t="s">
        <v>748</v>
      </c>
      <c r="B174" s="2" t="s">
        <v>749</v>
      </c>
      <c r="C174" s="2"/>
      <c r="D174" s="2" t="s">
        <v>355</v>
      </c>
      <c r="E174" s="2" t="s">
        <v>356</v>
      </c>
      <c r="F174" s="2" t="s">
        <v>750</v>
      </c>
      <c r="G174" s="2" t="s">
        <v>357</v>
      </c>
    </row>
    <row r="175" ht="15.75" customHeight="1">
      <c r="A175" s="2" t="s">
        <v>751</v>
      </c>
      <c r="B175" s="2" t="s">
        <v>752</v>
      </c>
      <c r="C175" s="2">
        <v>208.0</v>
      </c>
      <c r="D175" s="2" t="s">
        <v>355</v>
      </c>
      <c r="E175" s="2" t="s">
        <v>356</v>
      </c>
      <c r="F175" s="2">
        <v>46256.0</v>
      </c>
      <c r="G175" s="2" t="s">
        <v>357</v>
      </c>
    </row>
    <row r="176" ht="15.75" customHeight="1">
      <c r="A176" s="2" t="s">
        <v>753</v>
      </c>
      <c r="B176" s="2" t="s">
        <v>754</v>
      </c>
      <c r="C176" s="2"/>
      <c r="D176" s="2" t="s">
        <v>355</v>
      </c>
      <c r="E176" s="2" t="s">
        <v>356</v>
      </c>
      <c r="F176" s="2">
        <v>46222.0</v>
      </c>
      <c r="G176" s="2" t="s">
        <v>357</v>
      </c>
    </row>
    <row r="177" ht="15.75" customHeight="1">
      <c r="A177" s="2" t="s">
        <v>755</v>
      </c>
      <c r="B177" s="2" t="s">
        <v>524</v>
      </c>
      <c r="C177" s="2" t="s">
        <v>756</v>
      </c>
      <c r="D177" s="2" t="s">
        <v>355</v>
      </c>
      <c r="E177" s="2" t="s">
        <v>356</v>
      </c>
      <c r="F177" s="2" t="s">
        <v>527</v>
      </c>
      <c r="G177" s="2" t="s">
        <v>357</v>
      </c>
    </row>
    <row r="178" ht="15.75" customHeight="1">
      <c r="A178" s="2" t="s">
        <v>757</v>
      </c>
      <c r="B178" s="2" t="s">
        <v>758</v>
      </c>
      <c r="C178" s="2"/>
      <c r="D178" s="2" t="s">
        <v>355</v>
      </c>
      <c r="E178" s="2" t="s">
        <v>356</v>
      </c>
      <c r="F178" s="2">
        <v>46218.0</v>
      </c>
      <c r="G178" s="2" t="s">
        <v>357</v>
      </c>
    </row>
    <row r="179" ht="15.75" customHeight="1">
      <c r="A179" s="2" t="s">
        <v>759</v>
      </c>
      <c r="B179" s="2" t="s">
        <v>760</v>
      </c>
      <c r="C179" s="2"/>
      <c r="D179" s="2" t="s">
        <v>355</v>
      </c>
      <c r="E179" s="2" t="s">
        <v>356</v>
      </c>
      <c r="F179" s="2">
        <v>46241.0</v>
      </c>
      <c r="G179" s="2" t="s">
        <v>357</v>
      </c>
    </row>
    <row r="180" ht="15.75" customHeight="1">
      <c r="A180" s="2" t="s">
        <v>761</v>
      </c>
      <c r="B180" s="2" t="s">
        <v>762</v>
      </c>
      <c r="C180" s="2"/>
      <c r="D180" s="2" t="s">
        <v>355</v>
      </c>
      <c r="E180" s="2" t="s">
        <v>356</v>
      </c>
      <c r="F180" s="2">
        <v>46254.0</v>
      </c>
      <c r="G180" s="2" t="s">
        <v>357</v>
      </c>
    </row>
    <row r="181" ht="15.75" customHeight="1">
      <c r="A181" s="2" t="s">
        <v>763</v>
      </c>
      <c r="B181" s="2" t="s">
        <v>764</v>
      </c>
      <c r="C181" s="2" t="s">
        <v>765</v>
      </c>
      <c r="D181" s="2" t="s">
        <v>765</v>
      </c>
      <c r="E181" s="2" t="s">
        <v>766</v>
      </c>
      <c r="F181" s="2">
        <v>42376.0</v>
      </c>
      <c r="G181" s="2" t="s">
        <v>767</v>
      </c>
    </row>
    <row r="182" ht="15.75" customHeight="1">
      <c r="A182" s="2" t="s">
        <v>768</v>
      </c>
      <c r="B182" s="2" t="s">
        <v>769</v>
      </c>
      <c r="C182" s="2"/>
      <c r="D182" s="2" t="s">
        <v>355</v>
      </c>
      <c r="E182" s="2" t="s">
        <v>356</v>
      </c>
      <c r="F182" s="2">
        <v>46219.0</v>
      </c>
      <c r="G182" s="2" t="s">
        <v>357</v>
      </c>
    </row>
    <row r="183" ht="15.75" customHeight="1">
      <c r="A183" s="2" t="s">
        <v>770</v>
      </c>
      <c r="B183" s="2" t="s">
        <v>771</v>
      </c>
      <c r="C183" s="2"/>
      <c r="D183" s="2" t="s">
        <v>355</v>
      </c>
      <c r="E183" s="2" t="s">
        <v>356</v>
      </c>
      <c r="F183" s="2">
        <v>46219.0</v>
      </c>
      <c r="G183" s="2" t="s">
        <v>357</v>
      </c>
    </row>
    <row r="184" ht="15.75" customHeight="1">
      <c r="A184" s="2" t="s">
        <v>772</v>
      </c>
      <c r="B184" s="2" t="s">
        <v>773</v>
      </c>
      <c r="C184" s="2"/>
      <c r="D184" s="2" t="s">
        <v>355</v>
      </c>
      <c r="E184" s="2" t="s">
        <v>356</v>
      </c>
      <c r="F184" s="2">
        <v>46254.0</v>
      </c>
      <c r="G184" s="2" t="s">
        <v>357</v>
      </c>
    </row>
    <row r="185" ht="15.75" customHeight="1">
      <c r="A185" s="2" t="s">
        <v>774</v>
      </c>
      <c r="B185" s="2" t="s">
        <v>775</v>
      </c>
      <c r="C185" s="2"/>
      <c r="D185" s="2" t="s">
        <v>355</v>
      </c>
      <c r="E185" s="2" t="s">
        <v>356</v>
      </c>
      <c r="F185" s="2" t="s">
        <v>776</v>
      </c>
      <c r="G185" s="2" t="s">
        <v>357</v>
      </c>
    </row>
    <row r="186" ht="15.75" customHeight="1">
      <c r="A186" s="2" t="s">
        <v>777</v>
      </c>
      <c r="B186" s="2" t="s">
        <v>524</v>
      </c>
      <c r="C186" s="2" t="s">
        <v>778</v>
      </c>
      <c r="D186" s="2" t="s">
        <v>355</v>
      </c>
      <c r="E186" s="2" t="s">
        <v>356</v>
      </c>
      <c r="F186" s="2" t="s">
        <v>527</v>
      </c>
      <c r="G186" s="2" t="s">
        <v>357</v>
      </c>
    </row>
    <row r="187" ht="15.75" customHeight="1">
      <c r="A187" s="2" t="s">
        <v>779</v>
      </c>
      <c r="B187" s="2" t="s">
        <v>780</v>
      </c>
      <c r="C187" s="2"/>
      <c r="D187" s="2" t="s">
        <v>355</v>
      </c>
      <c r="E187" s="2" t="s">
        <v>356</v>
      </c>
      <c r="F187" s="2">
        <v>46241.0</v>
      </c>
      <c r="G187" s="2" t="s">
        <v>357</v>
      </c>
    </row>
    <row r="188" ht="15.75" customHeight="1">
      <c r="A188" s="2" t="s">
        <v>781</v>
      </c>
      <c r="B188" s="2" t="s">
        <v>782</v>
      </c>
      <c r="C188" s="2"/>
      <c r="D188" s="2" t="s">
        <v>355</v>
      </c>
      <c r="E188" s="2" t="s">
        <v>356</v>
      </c>
      <c r="F188" s="2" t="s">
        <v>783</v>
      </c>
      <c r="G188" s="2" t="s">
        <v>357</v>
      </c>
    </row>
    <row r="189" ht="15.75" customHeight="1">
      <c r="A189" s="2" t="s">
        <v>784</v>
      </c>
      <c r="B189" s="2" t="s">
        <v>785</v>
      </c>
      <c r="C189" s="2"/>
      <c r="D189" s="2" t="s">
        <v>355</v>
      </c>
      <c r="E189" s="2" t="s">
        <v>356</v>
      </c>
      <c r="F189" s="2">
        <v>46221.0</v>
      </c>
      <c r="G189" s="2" t="s">
        <v>357</v>
      </c>
    </row>
    <row r="190" ht="15.75" customHeight="1">
      <c r="A190" s="2" t="s">
        <v>786</v>
      </c>
      <c r="B190" s="2" t="s">
        <v>787</v>
      </c>
      <c r="C190" s="2"/>
      <c r="D190" s="2" t="s">
        <v>355</v>
      </c>
      <c r="E190" s="2" t="s">
        <v>356</v>
      </c>
      <c r="F190" s="2">
        <v>46222.0</v>
      </c>
      <c r="G190" s="2" t="s">
        <v>357</v>
      </c>
    </row>
    <row r="191" ht="15.75" customHeight="1">
      <c r="A191" s="2" t="s">
        <v>788</v>
      </c>
      <c r="B191" s="2" t="s">
        <v>789</v>
      </c>
      <c r="C191" s="2"/>
      <c r="D191" s="2" t="s">
        <v>355</v>
      </c>
      <c r="E191" s="2" t="s">
        <v>356</v>
      </c>
      <c r="F191" s="2">
        <v>46222.0</v>
      </c>
      <c r="G191" s="2" t="s">
        <v>357</v>
      </c>
    </row>
    <row r="192" ht="15.75" customHeight="1">
      <c r="A192" s="2" t="s">
        <v>790</v>
      </c>
      <c r="B192" s="2" t="s">
        <v>791</v>
      </c>
      <c r="C192" s="2"/>
      <c r="D192" s="2" t="s">
        <v>355</v>
      </c>
      <c r="E192" s="2" t="s">
        <v>356</v>
      </c>
      <c r="F192" s="2">
        <v>46222.0</v>
      </c>
      <c r="G192" s="2" t="s">
        <v>357</v>
      </c>
    </row>
    <row r="193" ht="15.75" customHeight="1">
      <c r="A193" s="2" t="s">
        <v>792</v>
      </c>
      <c r="B193" s="2" t="s">
        <v>793</v>
      </c>
      <c r="C193" s="2"/>
      <c r="D193" s="2" t="s">
        <v>355</v>
      </c>
      <c r="E193" s="2" t="s">
        <v>356</v>
      </c>
      <c r="F193" s="2">
        <v>46224.0</v>
      </c>
      <c r="G193" s="2" t="s">
        <v>357</v>
      </c>
    </row>
    <row r="194" ht="15.75" customHeight="1">
      <c r="A194" s="2" t="s">
        <v>794</v>
      </c>
      <c r="B194" s="2" t="s">
        <v>795</v>
      </c>
      <c r="C194" s="2"/>
      <c r="D194" s="2" t="s">
        <v>355</v>
      </c>
      <c r="E194" s="2" t="s">
        <v>356</v>
      </c>
      <c r="F194" s="2" t="s">
        <v>527</v>
      </c>
      <c r="G194" s="2" t="s">
        <v>357</v>
      </c>
    </row>
    <row r="195" ht="15.75" customHeight="1">
      <c r="A195" s="2" t="s">
        <v>796</v>
      </c>
      <c r="B195" s="2" t="s">
        <v>797</v>
      </c>
      <c r="C195" s="2"/>
      <c r="D195" s="2" t="s">
        <v>740</v>
      </c>
      <c r="E195" s="2" t="s">
        <v>356</v>
      </c>
      <c r="F195" s="2">
        <v>46016.0</v>
      </c>
      <c r="G195" s="2" t="s">
        <v>357</v>
      </c>
    </row>
    <row r="196" ht="15.75" customHeight="1">
      <c r="A196" s="2" t="s">
        <v>798</v>
      </c>
      <c r="B196" s="2" t="s">
        <v>524</v>
      </c>
      <c r="C196" s="2" t="s">
        <v>799</v>
      </c>
      <c r="D196" s="2" t="s">
        <v>355</v>
      </c>
      <c r="E196" s="2" t="s">
        <v>356</v>
      </c>
      <c r="F196" s="2" t="s">
        <v>527</v>
      </c>
      <c r="G196" s="2" t="s">
        <v>357</v>
      </c>
    </row>
    <row r="197" ht="15.75" customHeight="1">
      <c r="A197" s="2" t="s">
        <v>800</v>
      </c>
      <c r="B197" s="2" t="s">
        <v>801</v>
      </c>
      <c r="C197" s="2">
        <v>206.0</v>
      </c>
      <c r="D197" s="2" t="s">
        <v>355</v>
      </c>
      <c r="E197" s="2" t="s">
        <v>356</v>
      </c>
      <c r="F197" s="2">
        <v>46254.0</v>
      </c>
      <c r="G197" s="2" t="s">
        <v>357</v>
      </c>
    </row>
    <row r="198" ht="15.75" customHeight="1">
      <c r="A198" s="2" t="s">
        <v>802</v>
      </c>
      <c r="B198" s="2" t="s">
        <v>803</v>
      </c>
      <c r="C198" s="2"/>
      <c r="D198" s="2" t="s">
        <v>355</v>
      </c>
      <c r="E198" s="2" t="s">
        <v>356</v>
      </c>
      <c r="F198" s="2">
        <v>46203.0</v>
      </c>
      <c r="G198" s="2" t="s">
        <v>357</v>
      </c>
    </row>
    <row r="199" ht="15.75" customHeight="1">
      <c r="A199" s="2" t="s">
        <v>804</v>
      </c>
      <c r="B199" s="2" t="s">
        <v>805</v>
      </c>
      <c r="C199" s="2" t="s">
        <v>530</v>
      </c>
      <c r="D199" s="2" t="s">
        <v>355</v>
      </c>
      <c r="E199" s="2" t="s">
        <v>356</v>
      </c>
      <c r="F199" s="2">
        <v>46235.0</v>
      </c>
      <c r="G199" s="2" t="s">
        <v>357</v>
      </c>
    </row>
    <row r="200" ht="15.75" customHeight="1">
      <c r="A200" s="2" t="s">
        <v>806</v>
      </c>
      <c r="B200" s="2" t="s">
        <v>807</v>
      </c>
      <c r="C200" s="2"/>
      <c r="D200" s="2" t="s">
        <v>355</v>
      </c>
      <c r="E200" s="2" t="s">
        <v>356</v>
      </c>
      <c r="F200" s="2">
        <v>46219.0</v>
      </c>
      <c r="G200" s="2" t="s">
        <v>357</v>
      </c>
    </row>
    <row r="201" ht="15.75" customHeight="1">
      <c r="A201" s="2" t="s">
        <v>808</v>
      </c>
      <c r="B201" s="2" t="s">
        <v>809</v>
      </c>
      <c r="C201" s="2"/>
      <c r="D201" s="2" t="s">
        <v>355</v>
      </c>
      <c r="E201" s="2" t="s">
        <v>356</v>
      </c>
      <c r="F201" s="2">
        <v>46202.0</v>
      </c>
      <c r="G201" s="2" t="s">
        <v>357</v>
      </c>
    </row>
    <row r="202" ht="15.75" customHeight="1">
      <c r="A202" s="2" t="s">
        <v>810</v>
      </c>
      <c r="B202" s="2" t="s">
        <v>811</v>
      </c>
      <c r="C202" s="2"/>
      <c r="D202" s="2" t="s">
        <v>355</v>
      </c>
      <c r="E202" s="2" t="s">
        <v>356</v>
      </c>
      <c r="F202" s="2">
        <v>46228.0</v>
      </c>
      <c r="G202" s="2" t="s">
        <v>357</v>
      </c>
    </row>
    <row r="203" ht="15.75" customHeight="1">
      <c r="A203" s="2" t="s">
        <v>812</v>
      </c>
      <c r="B203" s="2" t="s">
        <v>813</v>
      </c>
      <c r="C203" s="2"/>
      <c r="D203" s="2" t="s">
        <v>355</v>
      </c>
      <c r="E203" s="2" t="s">
        <v>356</v>
      </c>
      <c r="F203" s="2">
        <v>46203.0</v>
      </c>
      <c r="G203" s="2" t="s">
        <v>357</v>
      </c>
    </row>
    <row r="204" ht="15.75" customHeight="1">
      <c r="A204" s="2" t="s">
        <v>814</v>
      </c>
      <c r="B204" s="2" t="s">
        <v>815</v>
      </c>
      <c r="C204" s="2"/>
      <c r="D204" s="2" t="s">
        <v>355</v>
      </c>
      <c r="E204" s="2" t="s">
        <v>356</v>
      </c>
      <c r="F204" s="2">
        <v>46222.0</v>
      </c>
      <c r="G204" s="2" t="s">
        <v>357</v>
      </c>
    </row>
    <row r="205" ht="15.75" customHeight="1">
      <c r="A205" s="2" t="s">
        <v>816</v>
      </c>
      <c r="B205" s="2" t="s">
        <v>452</v>
      </c>
      <c r="C205" s="2"/>
      <c r="D205" s="2" t="s">
        <v>355</v>
      </c>
      <c r="E205" s="2" t="s">
        <v>356</v>
      </c>
      <c r="F205" s="2">
        <v>46254.0</v>
      </c>
      <c r="G205" s="2" t="s">
        <v>357</v>
      </c>
    </row>
    <row r="206" ht="15.75" customHeight="1">
      <c r="A206" s="2" t="s">
        <v>817</v>
      </c>
      <c r="B206" s="2" t="s">
        <v>613</v>
      </c>
      <c r="C206" s="2" t="s">
        <v>614</v>
      </c>
      <c r="D206" s="2" t="s">
        <v>355</v>
      </c>
      <c r="E206" s="2" t="s">
        <v>356</v>
      </c>
      <c r="F206" s="2">
        <v>46214.0</v>
      </c>
      <c r="G206" s="2" t="s">
        <v>357</v>
      </c>
    </row>
    <row r="207" ht="15.75" customHeight="1">
      <c r="A207" s="2" t="s">
        <v>818</v>
      </c>
      <c r="B207" s="2" t="s">
        <v>819</v>
      </c>
      <c r="C207" s="2">
        <v>303.0</v>
      </c>
      <c r="D207" s="2" t="s">
        <v>355</v>
      </c>
      <c r="E207" s="2" t="s">
        <v>356</v>
      </c>
      <c r="F207" s="2">
        <v>46222.0</v>
      </c>
      <c r="G207" s="2" t="s">
        <v>357</v>
      </c>
    </row>
    <row r="208" ht="15.75" customHeight="1">
      <c r="A208" s="2" t="s">
        <v>820</v>
      </c>
      <c r="B208" s="2" t="s">
        <v>821</v>
      </c>
      <c r="C208" s="2"/>
      <c r="D208" s="2" t="s">
        <v>355</v>
      </c>
      <c r="E208" s="2" t="s">
        <v>356</v>
      </c>
      <c r="F208" s="2">
        <v>46241.0</v>
      </c>
      <c r="G208" s="2" t="s">
        <v>357</v>
      </c>
    </row>
    <row r="209" ht="15.75" customHeight="1">
      <c r="A209" s="2" t="s">
        <v>822</v>
      </c>
      <c r="B209" s="2" t="s">
        <v>823</v>
      </c>
      <c r="C209" s="2"/>
      <c r="D209" s="2" t="s">
        <v>824</v>
      </c>
      <c r="E209" s="2" t="s">
        <v>356</v>
      </c>
      <c r="F209" s="2">
        <v>46107.0</v>
      </c>
      <c r="G209" s="2" t="s">
        <v>357</v>
      </c>
    </row>
    <row r="210" ht="15.75" customHeight="1">
      <c r="A210" s="2" t="s">
        <v>825</v>
      </c>
      <c r="B210" s="2" t="s">
        <v>826</v>
      </c>
      <c r="C210" s="2"/>
      <c r="D210" s="2" t="s">
        <v>827</v>
      </c>
      <c r="E210" s="2" t="s">
        <v>356</v>
      </c>
      <c r="F210" s="2" t="s">
        <v>828</v>
      </c>
      <c r="G210" s="2" t="s">
        <v>357</v>
      </c>
    </row>
    <row r="211" ht="15.75" customHeight="1">
      <c r="A211" s="2" t="s">
        <v>829</v>
      </c>
      <c r="B211" s="2" t="s">
        <v>830</v>
      </c>
      <c r="C211" s="2"/>
      <c r="D211" s="2" t="s">
        <v>355</v>
      </c>
      <c r="E211" s="2" t="s">
        <v>356</v>
      </c>
      <c r="F211" s="2">
        <v>46228.0</v>
      </c>
      <c r="G211" s="2" t="s">
        <v>357</v>
      </c>
    </row>
    <row r="212" ht="15.75" customHeight="1">
      <c r="A212" s="2" t="s">
        <v>831</v>
      </c>
      <c r="B212" s="2" t="s">
        <v>832</v>
      </c>
      <c r="C212" s="2">
        <v>1270.0</v>
      </c>
      <c r="D212" s="2" t="s">
        <v>355</v>
      </c>
      <c r="E212" s="2" t="s">
        <v>356</v>
      </c>
      <c r="F212" s="2">
        <v>46254.0</v>
      </c>
      <c r="G212" s="2" t="s">
        <v>357</v>
      </c>
    </row>
    <row r="213" ht="15.75" customHeight="1">
      <c r="A213" s="2" t="s">
        <v>833</v>
      </c>
      <c r="B213" s="2" t="s">
        <v>834</v>
      </c>
      <c r="C213" s="2"/>
      <c r="D213" s="2" t="s">
        <v>835</v>
      </c>
      <c r="E213" s="2" t="s">
        <v>356</v>
      </c>
      <c r="F213" s="2">
        <v>46901.0</v>
      </c>
      <c r="G213" s="2" t="s">
        <v>357</v>
      </c>
    </row>
    <row r="214" ht="15.75" customHeight="1">
      <c r="A214" s="2" t="s">
        <v>836</v>
      </c>
      <c r="B214" s="2" t="s">
        <v>837</v>
      </c>
      <c r="C214" s="2"/>
      <c r="D214" s="2" t="s">
        <v>355</v>
      </c>
      <c r="E214" s="2" t="s">
        <v>356</v>
      </c>
      <c r="F214" s="2">
        <v>46254.0</v>
      </c>
      <c r="G214" s="2" t="s">
        <v>357</v>
      </c>
    </row>
    <row r="215" ht="15.75" customHeight="1">
      <c r="A215" s="2" t="s">
        <v>838</v>
      </c>
      <c r="B215" s="2" t="s">
        <v>839</v>
      </c>
      <c r="C215" s="2"/>
      <c r="D215" s="2" t="s">
        <v>355</v>
      </c>
      <c r="E215" s="2" t="s">
        <v>356</v>
      </c>
      <c r="F215" s="2">
        <v>46224.0</v>
      </c>
      <c r="G215" s="2" t="s">
        <v>357</v>
      </c>
    </row>
    <row r="216" ht="15.75" customHeight="1">
      <c r="A216" s="2" t="s">
        <v>840</v>
      </c>
      <c r="B216" s="2" t="s">
        <v>841</v>
      </c>
      <c r="C216" s="2"/>
      <c r="D216" s="2" t="s">
        <v>355</v>
      </c>
      <c r="E216" s="2" t="s">
        <v>356</v>
      </c>
      <c r="F216" s="2" t="s">
        <v>842</v>
      </c>
      <c r="G216" s="2" t="s">
        <v>357</v>
      </c>
    </row>
    <row r="217" ht="15.75" customHeight="1">
      <c r="A217" s="2" t="s">
        <v>843</v>
      </c>
      <c r="B217" s="2" t="s">
        <v>844</v>
      </c>
      <c r="C217" s="2"/>
      <c r="D217" s="2" t="s">
        <v>355</v>
      </c>
      <c r="E217" s="2" t="s">
        <v>356</v>
      </c>
      <c r="F217" s="2">
        <v>46224.0</v>
      </c>
      <c r="G217" s="2" t="s">
        <v>357</v>
      </c>
    </row>
    <row r="218" ht="15.75" customHeight="1">
      <c r="A218" s="2" t="s">
        <v>845</v>
      </c>
      <c r="B218" s="2" t="s">
        <v>846</v>
      </c>
      <c r="C218" s="2" t="s">
        <v>847</v>
      </c>
      <c r="D218" s="2" t="s">
        <v>355</v>
      </c>
      <c r="E218" s="2" t="s">
        <v>356</v>
      </c>
      <c r="F218" s="2">
        <v>46219.0</v>
      </c>
      <c r="G218" s="2" t="s">
        <v>357</v>
      </c>
    </row>
    <row r="219" ht="15.75" customHeight="1">
      <c r="A219" s="2" t="s">
        <v>848</v>
      </c>
      <c r="B219" s="2" t="s">
        <v>849</v>
      </c>
      <c r="C219" s="2"/>
      <c r="D219" s="2" t="s">
        <v>355</v>
      </c>
      <c r="E219" s="2" t="s">
        <v>356</v>
      </c>
      <c r="F219" s="2" t="s">
        <v>850</v>
      </c>
      <c r="G219" s="2" t="s">
        <v>357</v>
      </c>
    </row>
    <row r="220" ht="15.75" customHeight="1">
      <c r="A220" s="2" t="s">
        <v>851</v>
      </c>
      <c r="B220" s="2" t="s">
        <v>852</v>
      </c>
      <c r="C220" s="2"/>
      <c r="D220" s="2" t="s">
        <v>470</v>
      </c>
      <c r="E220" s="2" t="s">
        <v>356</v>
      </c>
      <c r="F220" s="2" t="s">
        <v>853</v>
      </c>
      <c r="G220" s="2" t="s">
        <v>357</v>
      </c>
    </row>
    <row r="221" ht="15.75" customHeight="1">
      <c r="A221" s="2" t="s">
        <v>854</v>
      </c>
      <c r="B221" s="2" t="s">
        <v>855</v>
      </c>
      <c r="C221" s="2"/>
      <c r="D221" s="2" t="s">
        <v>355</v>
      </c>
      <c r="E221" s="2" t="s">
        <v>356</v>
      </c>
      <c r="F221" s="2">
        <v>46201.0</v>
      </c>
      <c r="G221" s="2" t="s">
        <v>357</v>
      </c>
    </row>
    <row r="222" ht="15.75" customHeight="1">
      <c r="A222" s="2" t="s">
        <v>856</v>
      </c>
      <c r="B222" s="2" t="s">
        <v>857</v>
      </c>
      <c r="C222" s="2" t="s">
        <v>858</v>
      </c>
      <c r="D222" s="2" t="s">
        <v>522</v>
      </c>
      <c r="E222" s="2" t="s">
        <v>356</v>
      </c>
      <c r="F222" s="2">
        <v>47274.0</v>
      </c>
      <c r="G222" s="2" t="s">
        <v>357</v>
      </c>
    </row>
    <row r="223" ht="15.75" customHeight="1">
      <c r="A223" s="2" t="s">
        <v>859</v>
      </c>
      <c r="B223" s="2" t="s">
        <v>440</v>
      </c>
      <c r="C223" s="2">
        <v>730.0</v>
      </c>
      <c r="D223" s="2" t="s">
        <v>355</v>
      </c>
      <c r="E223" s="2" t="s">
        <v>356</v>
      </c>
      <c r="F223" s="2">
        <v>46222.0</v>
      </c>
      <c r="G223" s="2" t="s">
        <v>357</v>
      </c>
    </row>
    <row r="224" ht="15.75" customHeight="1">
      <c r="A224" s="2" t="s">
        <v>860</v>
      </c>
      <c r="B224" s="2" t="s">
        <v>861</v>
      </c>
      <c r="C224" s="2"/>
      <c r="D224" s="2" t="s">
        <v>355</v>
      </c>
      <c r="E224" s="2" t="s">
        <v>356</v>
      </c>
      <c r="F224" s="2">
        <v>46208.0</v>
      </c>
      <c r="G224" s="2" t="s">
        <v>357</v>
      </c>
    </row>
    <row r="225" ht="15.75" customHeight="1">
      <c r="A225" s="2" t="s">
        <v>862</v>
      </c>
      <c r="B225" s="2" t="s">
        <v>863</v>
      </c>
      <c r="C225" s="2"/>
      <c r="D225" s="2" t="s">
        <v>355</v>
      </c>
      <c r="E225" s="2" t="s">
        <v>356</v>
      </c>
      <c r="F225" s="2">
        <v>46218.0</v>
      </c>
      <c r="G225" s="2" t="s">
        <v>357</v>
      </c>
    </row>
    <row r="226" ht="15.75" customHeight="1">
      <c r="A226" s="2" t="s">
        <v>864</v>
      </c>
      <c r="B226" s="2" t="s">
        <v>865</v>
      </c>
      <c r="C226" s="2"/>
      <c r="D226" s="2" t="s">
        <v>355</v>
      </c>
      <c r="E226" s="2" t="s">
        <v>356</v>
      </c>
      <c r="F226" s="2">
        <v>46208.0</v>
      </c>
      <c r="G226" s="2" t="s">
        <v>357</v>
      </c>
    </row>
    <row r="227" ht="15.75" customHeight="1">
      <c r="A227" s="2" t="s">
        <v>866</v>
      </c>
      <c r="B227" s="2" t="s">
        <v>410</v>
      </c>
      <c r="C227" s="2"/>
      <c r="D227" s="2" t="s">
        <v>355</v>
      </c>
      <c r="E227" s="2" t="s">
        <v>356</v>
      </c>
      <c r="F227" s="2">
        <v>46254.0</v>
      </c>
      <c r="G227" s="2" t="s">
        <v>357</v>
      </c>
    </row>
    <row r="228" ht="15.75" customHeight="1">
      <c r="A228" s="2" t="s">
        <v>867</v>
      </c>
      <c r="B228" s="2" t="s">
        <v>410</v>
      </c>
      <c r="C228" s="2"/>
      <c r="D228" s="2" t="s">
        <v>355</v>
      </c>
      <c r="E228" s="2" t="s">
        <v>356</v>
      </c>
      <c r="F228" s="2">
        <v>46254.0</v>
      </c>
      <c r="G228" s="2" t="s">
        <v>357</v>
      </c>
    </row>
    <row r="229" ht="15.75" customHeight="1">
      <c r="A229" s="2" t="s">
        <v>868</v>
      </c>
      <c r="B229" s="2" t="s">
        <v>869</v>
      </c>
      <c r="C229" s="2"/>
      <c r="D229" s="2" t="s">
        <v>470</v>
      </c>
      <c r="E229" s="2" t="s">
        <v>356</v>
      </c>
      <c r="F229" s="2">
        <v>47909.0</v>
      </c>
      <c r="G229" s="2" t="s">
        <v>357</v>
      </c>
    </row>
    <row r="230" ht="15.75" customHeight="1">
      <c r="A230" s="2" t="s">
        <v>870</v>
      </c>
      <c r="B230" s="2" t="s">
        <v>871</v>
      </c>
      <c r="C230" s="2"/>
      <c r="D230" s="2" t="s">
        <v>470</v>
      </c>
      <c r="E230" s="2" t="s">
        <v>356</v>
      </c>
      <c r="F230" s="2">
        <v>47909.0</v>
      </c>
      <c r="G230" s="2" t="s">
        <v>357</v>
      </c>
    </row>
    <row r="231" ht="15.75" customHeight="1">
      <c r="A231" s="2" t="s">
        <v>872</v>
      </c>
      <c r="B231" s="2" t="s">
        <v>524</v>
      </c>
      <c r="C231" s="2"/>
      <c r="D231" s="2" t="s">
        <v>355</v>
      </c>
      <c r="E231" s="2" t="s">
        <v>356</v>
      </c>
      <c r="F231" s="2">
        <v>46222.0</v>
      </c>
      <c r="G231" s="2" t="s">
        <v>357</v>
      </c>
    </row>
    <row r="232" ht="15.75" customHeight="1">
      <c r="A232" s="2" t="s">
        <v>873</v>
      </c>
      <c r="B232" s="2" t="s">
        <v>874</v>
      </c>
      <c r="C232" s="2"/>
      <c r="D232" s="2" t="s">
        <v>355</v>
      </c>
      <c r="E232" s="2" t="s">
        <v>356</v>
      </c>
      <c r="F232" s="2">
        <v>46229.0</v>
      </c>
      <c r="G232" s="2" t="s">
        <v>357</v>
      </c>
    </row>
    <row r="233" ht="15.75" customHeight="1">
      <c r="A233" s="2" t="s">
        <v>875</v>
      </c>
      <c r="B233" s="2" t="s">
        <v>440</v>
      </c>
      <c r="C233" s="2"/>
      <c r="D233" s="2" t="s">
        <v>355</v>
      </c>
      <c r="E233" s="2" t="s">
        <v>356</v>
      </c>
      <c r="F233" s="2">
        <v>46222.0</v>
      </c>
      <c r="G233" s="2" t="s">
        <v>357</v>
      </c>
    </row>
    <row r="234" ht="15.75" customHeight="1">
      <c r="A234" s="2" t="s">
        <v>876</v>
      </c>
      <c r="B234" s="2" t="s">
        <v>427</v>
      </c>
      <c r="C234" s="2" t="s">
        <v>428</v>
      </c>
      <c r="D234" s="2" t="s">
        <v>355</v>
      </c>
      <c r="E234" s="2" t="s">
        <v>356</v>
      </c>
      <c r="F234" s="2" t="s">
        <v>877</v>
      </c>
      <c r="G234" s="2" t="s">
        <v>357</v>
      </c>
    </row>
    <row r="235" ht="15.75" customHeight="1">
      <c r="A235" s="2" t="s">
        <v>878</v>
      </c>
      <c r="B235" s="2" t="s">
        <v>879</v>
      </c>
      <c r="C235" s="2"/>
      <c r="D235" s="2" t="s">
        <v>355</v>
      </c>
      <c r="E235" s="2" t="s">
        <v>356</v>
      </c>
      <c r="F235" s="2">
        <v>46235.0</v>
      </c>
      <c r="G235" s="2" t="s">
        <v>357</v>
      </c>
    </row>
    <row r="236" ht="15.75" customHeight="1">
      <c r="A236" s="2" t="s">
        <v>880</v>
      </c>
      <c r="B236" s="2" t="s">
        <v>881</v>
      </c>
      <c r="C236" s="2"/>
      <c r="D236" s="2" t="s">
        <v>557</v>
      </c>
      <c r="E236" s="2" t="s">
        <v>356</v>
      </c>
      <c r="F236" s="2">
        <v>46060.0</v>
      </c>
      <c r="G236" s="2" t="s">
        <v>357</v>
      </c>
    </row>
    <row r="237" ht="15.75" customHeight="1">
      <c r="A237" s="2" t="s">
        <v>882</v>
      </c>
      <c r="B237" s="2" t="s">
        <v>883</v>
      </c>
      <c r="C237" s="2"/>
      <c r="D237" s="2" t="s">
        <v>355</v>
      </c>
      <c r="E237" s="2" t="s">
        <v>356</v>
      </c>
      <c r="F237" s="2">
        <v>46227.0</v>
      </c>
      <c r="G237" s="2" t="s">
        <v>357</v>
      </c>
    </row>
    <row r="238" ht="15.75" customHeight="1">
      <c r="A238" s="2" t="s">
        <v>884</v>
      </c>
      <c r="B238" s="2" t="s">
        <v>885</v>
      </c>
      <c r="C238" s="2"/>
      <c r="D238" s="2" t="s">
        <v>355</v>
      </c>
      <c r="E238" s="2" t="s">
        <v>356</v>
      </c>
      <c r="F238" s="2">
        <v>46222.0</v>
      </c>
      <c r="G238" s="2" t="s">
        <v>357</v>
      </c>
    </row>
    <row r="239" ht="15.75" customHeight="1">
      <c r="A239" s="2" t="s">
        <v>886</v>
      </c>
      <c r="B239" s="2" t="s">
        <v>440</v>
      </c>
      <c r="C239" s="2">
        <v>1016.0</v>
      </c>
      <c r="D239" s="2" t="s">
        <v>355</v>
      </c>
      <c r="E239" s="2" t="s">
        <v>356</v>
      </c>
      <c r="F239" s="2">
        <v>46222.0</v>
      </c>
      <c r="G239" s="2" t="s">
        <v>357</v>
      </c>
    </row>
    <row r="240" ht="15.75" customHeight="1">
      <c r="A240" s="2" t="s">
        <v>887</v>
      </c>
      <c r="B240" s="2" t="s">
        <v>888</v>
      </c>
      <c r="C240" s="2"/>
      <c r="D240" s="2" t="s">
        <v>355</v>
      </c>
      <c r="E240" s="2" t="s">
        <v>356</v>
      </c>
      <c r="F240" s="2">
        <v>46222.0</v>
      </c>
      <c r="G240" s="2" t="s">
        <v>357</v>
      </c>
    </row>
    <row r="241" ht="15.75" customHeight="1">
      <c r="A241" s="2" t="s">
        <v>889</v>
      </c>
      <c r="B241" s="2" t="s">
        <v>524</v>
      </c>
      <c r="C241" s="2"/>
      <c r="D241" s="2" t="s">
        <v>355</v>
      </c>
      <c r="E241" s="2" t="s">
        <v>356</v>
      </c>
      <c r="F241" s="2" t="s">
        <v>527</v>
      </c>
      <c r="G241" s="2" t="s">
        <v>357</v>
      </c>
    </row>
    <row r="242" ht="15.75" customHeight="1">
      <c r="A242" s="2" t="s">
        <v>890</v>
      </c>
      <c r="B242" s="2" t="s">
        <v>891</v>
      </c>
      <c r="C242" s="2">
        <v>616.0</v>
      </c>
      <c r="D242" s="2" t="s">
        <v>355</v>
      </c>
      <c r="E242" s="2" t="s">
        <v>356</v>
      </c>
      <c r="F242" s="2">
        <v>46224.0</v>
      </c>
      <c r="G242" s="2" t="s">
        <v>357</v>
      </c>
    </row>
    <row r="243" ht="15.75" customHeight="1">
      <c r="A243" s="2" t="s">
        <v>892</v>
      </c>
      <c r="B243" s="2" t="s">
        <v>893</v>
      </c>
      <c r="C243" s="2"/>
      <c r="D243" s="2" t="s">
        <v>355</v>
      </c>
      <c r="E243" s="2" t="s">
        <v>356</v>
      </c>
      <c r="F243" s="2">
        <v>46224.0</v>
      </c>
      <c r="G243" s="2" t="s">
        <v>357</v>
      </c>
    </row>
    <row r="244" ht="15.75" customHeight="1">
      <c r="A244" s="2" t="s">
        <v>894</v>
      </c>
      <c r="B244" s="2" t="s">
        <v>895</v>
      </c>
      <c r="C244" s="2" t="s">
        <v>896</v>
      </c>
      <c r="D244" s="2" t="s">
        <v>539</v>
      </c>
      <c r="E244" s="2" t="s">
        <v>356</v>
      </c>
      <c r="F244" s="2">
        <v>46038.0</v>
      </c>
      <c r="G244" s="2" t="s">
        <v>357</v>
      </c>
    </row>
    <row r="245" ht="15.75" customHeight="1">
      <c r="A245" s="2" t="s">
        <v>897</v>
      </c>
      <c r="B245" s="2" t="s">
        <v>898</v>
      </c>
      <c r="C245" s="2"/>
      <c r="D245" s="2" t="s">
        <v>355</v>
      </c>
      <c r="E245" s="2" t="s">
        <v>356</v>
      </c>
      <c r="F245" s="2">
        <v>46208.0</v>
      </c>
      <c r="G245" s="2" t="s">
        <v>357</v>
      </c>
    </row>
    <row r="246" ht="15.75" customHeight="1">
      <c r="A246" s="2" t="s">
        <v>899</v>
      </c>
      <c r="B246" s="2" t="s">
        <v>900</v>
      </c>
      <c r="C246" s="2"/>
      <c r="D246" s="2" t="s">
        <v>355</v>
      </c>
      <c r="E246" s="2" t="s">
        <v>356</v>
      </c>
      <c r="F246" s="2">
        <v>46222.0</v>
      </c>
      <c r="G246" s="2" t="s">
        <v>357</v>
      </c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