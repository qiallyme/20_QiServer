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_and_lo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0000"/>
    </font>
    <font>
      <name val="arial"/>
      <sz val="11.0"/>
      <color rgb="FFFFFF"/>
    </font>
    <font>
      <name val="arial"/>
      <sz val="12.0"/>
      <color rgb="000000"/>
      <b val="true"/>
    </font>
    <font>
      <name val="arial"/>
      <sz val="11.0"/>
      <color rgb="FFFFFF"/>
    </font>
    <font>
      <name val="arial"/>
      <sz val="11.0"/>
      <color rgb="FFFFFF"/>
      <b val="true"/>
    </font>
    <font>
      <name val="arial"/>
      <sz val="11.0"/>
      <color rgb="000000"/>
    </font>
    <font>
      <name val="arial"/>
      <sz val="11.0"/>
      <color rgb="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5F5F5"/>
      </patternFill>
    </fill>
    <fill>
      <patternFill patternType="solid">
        <fgColor rgb="FF0000"/>
      </patternFill>
    </fill>
    <fill>
      <patternFill patternType="none">
        <fgColor rgb="F5F5F5"/>
      </patternFill>
    </fill>
    <fill>
      <patternFill patternType="none">
        <fgColor rgb="468847"/>
      </patternFill>
    </fill>
    <fill>
      <patternFill patternType="solid">
        <fgColor rgb="468847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F6B5"/>
      </patternFill>
    </fill>
    <fill>
      <patternFill patternType="solid">
        <fgColor rgb="FFF6B5"/>
      </patternFill>
    </fill>
    <fill>
      <patternFill patternType="none">
        <fgColor rgb="2D373C"/>
      </patternFill>
    </fill>
    <fill>
      <patternFill patternType="solid">
        <fgColor rgb="2D373C"/>
      </patternFill>
    </fill>
    <fill>
      <patternFill patternType="none">
        <fgColor rgb="F7CBAF"/>
      </patternFill>
    </fill>
    <fill>
      <patternFill patternType="solid">
        <fgColor rgb="F7CBAF"/>
      </patternFill>
    </fill>
    <fill>
      <patternFill patternType="none">
        <fgColor rgb="1072BD"/>
      </patternFill>
    </fill>
    <fill>
      <patternFill patternType="solid">
        <fgColor rgb="1072BD"/>
      </patternFill>
    </fill>
    <fill>
      <patternFill patternType="none">
        <fgColor rgb="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5D5D5"/>
      </bottom>
    </border>
    <border>
      <left style="thin"/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>
        <color rgb="D5D5D5"/>
      </right>
      <top style="thin">
        <color rgb="D5D5D5"/>
      </top>
      <bottom style="thin">
        <color rgb="D5D5D5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bottom"/>
    </xf>
    <xf numFmtId="0" fontId="7" fillId="7" borderId="8" xfId="0" applyFont="true" applyFill="true" applyBorder="true" applyAlignment="true">
      <alignment horizontal="right" vertical="bottom"/>
    </xf>
    <xf numFmtId="0" fontId="7" fillId="9" borderId="8" xfId="0" applyFont="true" applyFill="true" applyBorder="true" applyAlignment="true">
      <alignment horizontal="left" vertical="bottom"/>
    </xf>
    <xf numFmtId="0" fontId="7" fillId="11" borderId="8" xfId="0" applyFont="true" applyFill="true" applyBorder="true" applyAlignment="true">
      <alignment horizontal="right" vertical="bottom"/>
    </xf>
    <xf numFmtId="0" fontId="7" fillId="9" borderId="8" xfId="0" applyFont="true" applyFill="true" applyBorder="true" applyAlignment="true">
      <alignment horizontal="center" vertical="bottom"/>
    </xf>
    <xf numFmtId="0" fontId="4" fillId="9" borderId="8" xfId="0" applyFont="true" applyFill="true" applyBorder="true" applyAlignment="true">
      <alignment horizontal="center" vertical="bottom"/>
    </xf>
    <xf numFmtId="0" fontId="7" fillId="9" borderId="8" xfId="0" applyFont="true" applyFill="true" applyBorder="true" applyAlignment="true">
      <alignment horizontal="right" vertical="bottom"/>
    </xf>
    <xf numFmtId="0" fontId="7" fillId="11" borderId="8" xfId="0" applyFont="true" applyFill="true" applyBorder="true" applyAlignment="true">
      <alignment horizontal="center" vertical="bottom"/>
    </xf>
    <xf numFmtId="0" fontId="5" fillId="13" borderId="8" xfId="0" applyFont="true" applyFill="true" applyBorder="true" applyAlignment="true">
      <alignment horizontal="center" vertical="center"/>
    </xf>
    <xf numFmtId="0" fontId="7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center" vertical="bottom"/>
    </xf>
    <xf numFmtId="0" fontId="7" fillId="15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center" vertical="bottom"/>
    </xf>
    <xf numFmtId="0" fontId="7" fillId="11" borderId="8" xfId="0" applyFont="true" applyFill="true" applyBorder="true" applyAlignment="true">
      <alignment horizontal="left" vertical="bottom"/>
    </xf>
    <xf numFmtId="0" fontId="5" fillId="13" borderId="8" xfId="0" applyFont="true" applyFill="true" applyBorder="true" applyAlignment="true">
      <alignment horizontal="left" vertical="center"/>
    </xf>
    <xf numFmtId="0" fontId="6" fillId="17" borderId="8" xfId="0" applyFont="true" applyFill="true" applyBorder="true" applyAlignment="true">
      <alignment horizontal="right" vertical="bottom"/>
    </xf>
    <xf numFmtId="0" fontId="6" fillId="17" borderId="8" xfId="0" applyFont="true" applyFill="true" applyBorder="true" applyAlignment="true">
      <alignment horizontal="left" vertical="bottom"/>
    </xf>
    <xf numFmtId="0" fontId="5" fillId="13" borderId="8" xfId="0" applyFont="true" applyFill="true" applyBorder="true" applyAlignment="true">
      <alignment horizontal="right" vertical="center"/>
    </xf>
    <xf numFmtId="0" fontId="7" fillId="15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left" vertical="bottom"/>
    </xf>
    <xf numFmtId="0" fontId="7" fillId="4" borderId="8" xfId="0" applyFont="true" applyFill="true" applyBorder="true" applyAlignment="true">
      <alignment horizontal="right" vertical="bottom"/>
    </xf>
    <xf numFmtId="0" fontId="7" fillId="4" borderId="8" xfId="0" applyFont="true" applyFill="true" applyBorder="true" applyAlignment="true">
      <alignment horizontal="center" vertical="bottom"/>
    </xf>
    <xf numFmtId="0" fontId="7" fillId="15" borderId="8" xfId="0" applyFont="true" applyFill="true" applyBorder="true" applyAlignment="true">
      <alignment horizontal="left" vertical="bottom"/>
    </xf>
    <xf numFmtId="0" fontId="4" fillId="9" borderId="8" xfId="0" applyFont="true" applyFill="true" applyBorder="true" applyAlignment="true">
      <alignment horizontal="left" vertical="bottom"/>
    </xf>
    <xf numFmtId="0" fontId="7" fillId="3" borderId="8" xfId="0" applyFont="true" applyFill="true" applyBorder="true" applyAlignment="true">
      <alignment horizontal="right" vertical="bottom"/>
    </xf>
    <xf numFmtId="0" fontId="7" fillId="7" borderId="8" xfId="0" applyFont="true" applyFill="true" applyBorder="true" applyAlignment="true">
      <alignment horizontal="left" vertical="bottom"/>
    </xf>
    <xf numFmtId="0" fontId="7" fillId="7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center" vertical="bottom"/>
    </xf>
    <xf numFmtId="0" fontId="7" fillId="4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right" vertical="bottom"/>
    </xf>
    <xf numFmtId="0" fontId="4" fillId="9" borderId="8" xfId="0" applyFont="true" applyFill="true" applyBorder="true" applyAlignment="true">
      <alignment horizontal="right" vertical="bottom"/>
    </xf>
    <xf numFmtId="0" fontId="6" fillId="17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right" vertical="bottom"/>
    </xf>
    <xf numFmtId="0" fontId="7" fillId="3" borderId="8" xfId="0" applyFont="true" applyFill="true" applyBorder="true" applyAlignme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2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</cols>
  <sheetData>
    <row r="1" customHeight="true" ht="70.0">
      <c r="A1" s="12" t="inlineStr">
        <is>
          <t>InovaFlow
            Profit and Loss
            Basis: Accrual
                        From 01 Jan 2024 To 31 Oct 2024</t>
        </is>
      </c>
    </row>
    <row r="2">
      <c r="A2" s="13" t="inlineStr">
        <is>
          <t xml:space="preserve">Account </t>
        </is>
      </c>
      <c r="B2" s="13" t="inlineStr">
        <is>
          <t xml:space="preserve">Account Code </t>
        </is>
      </c>
      <c r="C2" s="30" t="inlineStr">
        <is>
          <t xml:space="preserve">Total </t>
        </is>
      </c>
    </row>
    <row r="4">
      <c r="A4" s="6" t="inlineStr">
        <is>
          <t>Operating Income</t>
        </is>
      </c>
      <c r="B4" s="6" t="inlineStr">
        <is>
          <t/>
        </is>
      </c>
      <c r="C4" t="inlineStr">
        <is>
          <t/>
        </is>
      </c>
    </row>
    <row r="5">
      <c r="A5" s="6" t="inlineStr">
        <is>
          <t xml:space="preserve">          3000-Business Income (Draws)</t>
        </is>
      </c>
      <c r="B5" s="6" t="inlineStr">
        <is>
          <t>3000</t>
        </is>
      </c>
      <c r="C5" s="10" t="n">
        <v>1220.41</v>
      </c>
    </row>
    <row r="6">
      <c r="A6" s="6" t="inlineStr">
        <is>
          <t xml:space="preserve">          3040-Discount</t>
        </is>
      </c>
      <c r="B6" s="6" t="inlineStr">
        <is>
          <t>3040</t>
        </is>
      </c>
      <c r="C6" s="10" t="n">
        <v>-738.88</v>
      </c>
    </row>
    <row r="7">
      <c r="A7" s="6" t="inlineStr">
        <is>
          <t xml:space="preserve">          3042-Other Charges</t>
        </is>
      </c>
      <c r="B7" s="6" t="inlineStr">
        <is>
          <t>3042</t>
        </is>
      </c>
      <c r="C7" s="10" t="n">
        <v>418.61</v>
      </c>
    </row>
    <row r="8">
      <c r="A8" s="6" t="inlineStr">
        <is>
          <t xml:space="preserve">          P3000-General Income</t>
        </is>
      </c>
      <c r="B8" s="6" t="inlineStr">
        <is>
          <t>P3000</t>
        </is>
      </c>
      <c r="C8" s="10" t="n">
        <v>6850.35</v>
      </c>
    </row>
    <row r="9">
      <c r="A9" s="6" t="inlineStr">
        <is>
          <t xml:space="preserve">                    P3100-Sales</t>
        </is>
      </c>
      <c r="B9" s="6" t="inlineStr">
        <is>
          <t>P3100</t>
        </is>
      </c>
      <c r="C9" s="10" t="n">
        <v>4159.7</v>
      </c>
    </row>
    <row r="10">
      <c r="A10" s="6" t="inlineStr">
        <is>
          <t xml:space="preserve">                    P3600-Interest Income</t>
        </is>
      </c>
      <c r="B10" s="6" t="inlineStr">
        <is>
          <t>P3600</t>
        </is>
      </c>
      <c r="C10" s="10" t="n">
        <v>12.03</v>
      </c>
    </row>
    <row r="11">
      <c r="A11" s="6" t="inlineStr">
        <is>
          <t xml:space="preserve">                    3110-Square Sales</t>
        </is>
      </c>
      <c r="B11" s="6" t="inlineStr">
        <is>
          <t>3110</t>
        </is>
      </c>
      <c r="C11" s="10" t="n">
        <v>-1100.12</v>
      </c>
    </row>
    <row r="12">
      <c r="A12" s="6" t="inlineStr">
        <is>
          <t xml:space="preserve">                    3210-RENTAL INCOME</t>
        </is>
      </c>
      <c r="B12" s="6" t="inlineStr">
        <is>
          <t>3210</t>
        </is>
      </c>
      <c r="C12" s="10" t="n">
        <v>6360.0</v>
      </c>
    </row>
    <row r="13">
      <c r="A13" s="6" t="inlineStr">
        <is>
          <t xml:space="preserve">                    3800-QHR LLP DRAWS</t>
        </is>
      </c>
      <c r="B13" s="6" t="inlineStr">
        <is>
          <t>3800</t>
        </is>
      </c>
      <c r="C13" s="10" t="n">
        <v>1182.8</v>
      </c>
    </row>
    <row r="14">
      <c r="A14" s="25" t="inlineStr">
        <is>
          <t xml:space="preserve">          Total for P3000-General Income</t>
        </is>
      </c>
      <c r="B14" t="inlineStr">
        <is>
          <t>P3000</t>
        </is>
      </c>
      <c r="C14" s="4" t="n">
        <f>(+(C8)+(C9)+(C10)+(C11)+(C12)+(C13))</f>
        <v>0.0</v>
      </c>
    </row>
    <row r="16">
      <c r="A16" s="6" t="inlineStr">
        <is>
          <t xml:space="preserve">          Square Service Charge</t>
        </is>
      </c>
      <c r="B16" s="6" t="inlineStr">
        <is>
          <t/>
        </is>
      </c>
      <c r="C16" s="10" t="n">
        <v>231.47</v>
      </c>
    </row>
    <row r="17">
      <c r="A17" s="25" t="inlineStr">
        <is>
          <t>Total for Operating Income</t>
        </is>
      </c>
      <c r="B17" t="inlineStr">
        <is>
          <t/>
        </is>
      </c>
      <c r="C17" s="4" t="n">
        <f>(+(C5)+(C6)+(C7)+(C14)+(C16))</f>
        <v>0.0</v>
      </c>
    </row>
    <row r="19">
      <c r="A19" s="6" t="inlineStr">
        <is>
          <t>Cost of Goods Sold</t>
        </is>
      </c>
      <c r="B19" s="6" t="inlineStr">
        <is>
          <t/>
        </is>
      </c>
      <c r="C19" t="inlineStr">
        <is>
          <t/>
        </is>
      </c>
    </row>
    <row r="20">
      <c r="A20" s="6" t="inlineStr">
        <is>
          <t xml:space="preserve">          5300-Cost of Goods Sold (COGS)</t>
        </is>
      </c>
      <c r="B20" s="6" t="inlineStr">
        <is>
          <t>5300</t>
        </is>
      </c>
      <c r="C20" s="10" t="n">
        <v>524.01</v>
      </c>
    </row>
    <row r="21">
      <c r="A21" s="25" t="inlineStr">
        <is>
          <t>Total for Cost of Goods Sold</t>
        </is>
      </c>
      <c r="B21" t="inlineStr">
        <is>
          <t/>
        </is>
      </c>
      <c r="C21" s="4" t="n">
        <f>(+(C20))</f>
        <v>0.0</v>
      </c>
    </row>
    <row r="23">
      <c r="A23" s="4" t="inlineStr">
        <is>
          <t>Gross Profit</t>
        </is>
      </c>
      <c r="B23" t="inlineStr">
        <is>
          <t/>
        </is>
      </c>
      <c r="C23" s="4" t="n">
        <f>((+(C5)+(C6)+(C7)+(C14)+(C16))-(+(C20)))</f>
        <v>0.0</v>
      </c>
    </row>
    <row r="25">
      <c r="A25" s="6" t="inlineStr">
        <is>
          <t>Operating Expense</t>
        </is>
      </c>
      <c r="B25" s="6" t="inlineStr">
        <is>
          <t/>
        </is>
      </c>
      <c r="C25" t="inlineStr">
        <is>
          <t/>
        </is>
      </c>
    </row>
    <row r="26">
      <c r="A26" s="6" t="inlineStr">
        <is>
          <t xml:space="preserve">          P4000-Expenses (Personal)</t>
        </is>
      </c>
      <c r="B26" s="6" t="inlineStr">
        <is>
          <t>P4000</t>
        </is>
      </c>
      <c r="C26" s="10" t="n">
        <v>1372.77</v>
      </c>
    </row>
    <row r="27">
      <c r="A27" s="6" t="inlineStr">
        <is>
          <t xml:space="preserve">                    P4023-Loss on Disposal of Vehicle</t>
        </is>
      </c>
      <c r="B27" s="6" t="inlineStr">
        <is>
          <t>P4023</t>
        </is>
      </c>
      <c r="C27" s="10" t="n">
        <v>2000.0</v>
      </c>
    </row>
    <row r="28">
      <c r="A28" s="6" t="inlineStr">
        <is>
          <t xml:space="preserve">                    P4090-Interest</t>
        </is>
      </c>
      <c r="B28" s="6" t="inlineStr">
        <is>
          <t>P4090</t>
        </is>
      </c>
      <c r="C28" s="10" t="n">
        <v>6550.67</v>
      </c>
    </row>
    <row r="29">
      <c r="A29" s="6" t="inlineStr">
        <is>
          <t xml:space="preserve">                    P4500-Repairs and Maintenance</t>
        </is>
      </c>
      <c r="B29" s="6" t="inlineStr">
        <is>
          <t>P4500</t>
        </is>
      </c>
      <c r="C29" s="10" t="n">
        <v>638.24</v>
      </c>
    </row>
    <row r="30">
      <c r="A30" s="6" t="inlineStr">
        <is>
          <t xml:space="preserve">                    P4700-Taxes</t>
        </is>
      </c>
      <c r="B30" s="6" t="inlineStr">
        <is>
          <t>P4700</t>
        </is>
      </c>
      <c r="C30" s="10" t="n">
        <v>7410.38</v>
      </c>
    </row>
    <row r="31">
      <c r="A31" s="6" t="inlineStr">
        <is>
          <t xml:space="preserve">                    P4810-Groceries</t>
        </is>
      </c>
      <c r="B31" s="6" t="inlineStr">
        <is>
          <t>P4810</t>
        </is>
      </c>
      <c r="C31" s="10" t="n">
        <v>1333.81</v>
      </c>
    </row>
    <row r="32">
      <c r="A32" s="6" t="inlineStr">
        <is>
          <t xml:space="preserve">                    P4890-Entertainment</t>
        </is>
      </c>
      <c r="B32" s="6" t="inlineStr">
        <is>
          <t>P4890</t>
        </is>
      </c>
      <c r="C32" s="10" t="n">
        <v>2266.22</v>
      </c>
    </row>
    <row r="33">
      <c r="A33" s="6" t="inlineStr">
        <is>
          <t xml:space="preserve">                    P4980.1-Honduras Expense</t>
        </is>
      </c>
      <c r="B33" s="6" t="inlineStr">
        <is>
          <t>P4980.1</t>
        </is>
      </c>
      <c r="C33" s="10" t="n">
        <v>-43.56</v>
      </c>
    </row>
    <row r="34">
      <c r="A34" s="6" t="inlineStr">
        <is>
          <t xml:space="preserve">                              P4982-Money Transfers To Joel</t>
        </is>
      </c>
      <c r="B34" s="6" t="inlineStr">
        <is>
          <t>P4982</t>
        </is>
      </c>
      <c r="C34" s="10" t="n">
        <v>442.25</v>
      </c>
    </row>
    <row r="35">
      <c r="A35" s="25" t="inlineStr">
        <is>
          <t xml:space="preserve">                    Total for P4980.1-Honduras Expense</t>
        </is>
      </c>
      <c r="B35" t="inlineStr">
        <is>
          <t>P4980.1</t>
        </is>
      </c>
      <c r="C35" s="4" t="n">
        <f>(+(C33)+(C34))</f>
        <v>0.0</v>
      </c>
    </row>
    <row r="37">
      <c r="A37" s="6" t="inlineStr">
        <is>
          <t xml:space="preserve">                    P5100-Other Expenses</t>
        </is>
      </c>
      <c r="B37" s="6" t="inlineStr">
        <is>
          <t>P5100</t>
        </is>
      </c>
      <c r="C37" s="10" t="n">
        <v>242.48</v>
      </c>
    </row>
    <row r="38">
      <c r="A38" s="6" t="inlineStr">
        <is>
          <t xml:space="preserve">                              P5101-HOA Dues</t>
        </is>
      </c>
      <c r="B38" s="6" t="inlineStr">
        <is>
          <t>P5101</t>
        </is>
      </c>
      <c r="C38" s="10" t="n">
        <v>252.0</v>
      </c>
    </row>
    <row r="39">
      <c r="A39" s="6" t="inlineStr">
        <is>
          <t xml:space="preserve">                              P5210-Utilities</t>
        </is>
      </c>
      <c r="B39" s="6" t="inlineStr">
        <is>
          <t>P5210</t>
        </is>
      </c>
      <c r="C39" s="10" t="n">
        <v>1047.35</v>
      </c>
    </row>
    <row r="40">
      <c r="A40" s="6" t="inlineStr">
        <is>
          <t xml:space="preserve">                                        P5210-Water and Sewage</t>
        </is>
      </c>
      <c r="B40" s="6" t="inlineStr">
        <is>
          <t>P5210.00</t>
        </is>
      </c>
      <c r="C40" s="10" t="n">
        <v>500.32</v>
      </c>
    </row>
    <row r="41">
      <c r="A41" s="6" t="inlineStr">
        <is>
          <t xml:space="preserve">                                        P5211-Electric</t>
        </is>
      </c>
      <c r="B41" s="6" t="inlineStr">
        <is>
          <t>P5211</t>
        </is>
      </c>
      <c r="C41" s="10" t="n">
        <v>2976.18</v>
      </c>
    </row>
    <row r="42">
      <c r="A42" s="6" t="inlineStr">
        <is>
          <t xml:space="preserve">                                        P5213-Home Internet</t>
        </is>
      </c>
      <c r="B42" s="6" t="inlineStr">
        <is>
          <t>P5213</t>
        </is>
      </c>
      <c r="C42" s="10" t="n">
        <v>217.59</v>
      </c>
    </row>
    <row r="43">
      <c r="A43" s="25" t="inlineStr">
        <is>
          <t xml:space="preserve">                              Total for P5210-Utilities</t>
        </is>
      </c>
      <c r="B43" t="inlineStr">
        <is>
          <t>P5210</t>
        </is>
      </c>
      <c r="C43" s="4" t="n">
        <f>(+(C39)+(C40)+(C41)+(C42))</f>
        <v>0.0</v>
      </c>
    </row>
    <row r="45">
      <c r="A45" s="25" t="inlineStr">
        <is>
          <t xml:space="preserve">                    Total for P5100-Other Expenses</t>
        </is>
      </c>
      <c r="B45" t="inlineStr">
        <is>
          <t>P5100</t>
        </is>
      </c>
      <c r="C45" s="4" t="n">
        <f>(+(C37)+(C38)+(C43))</f>
        <v>0.0</v>
      </c>
    </row>
    <row r="47">
      <c r="A47" s="25" t="inlineStr">
        <is>
          <t xml:space="preserve">          Total for P4000-Expenses (Personal)</t>
        </is>
      </c>
      <c r="B47" t="inlineStr">
        <is>
          <t>P4000</t>
        </is>
      </c>
      <c r="C47" s="4" t="n">
        <f>(+(C26)+(C27)+(C28)+(C29)+(C30)+(C31)+(C32)+(C35)+(C45))</f>
        <v>0.0</v>
      </c>
    </row>
    <row r="49">
      <c r="A49" s="6" t="inlineStr">
        <is>
          <t xml:space="preserve">          P5109-Bank Fees and Charges</t>
        </is>
      </c>
      <c r="B49" s="6" t="inlineStr">
        <is>
          <t>P5109</t>
        </is>
      </c>
      <c r="C49" s="10" t="n">
        <v>373.11</v>
      </c>
    </row>
    <row r="50">
      <c r="A50" s="6" t="inlineStr">
        <is>
          <t xml:space="preserve">          Square Fees</t>
        </is>
      </c>
      <c r="B50" s="6" t="inlineStr">
        <is>
          <t/>
        </is>
      </c>
      <c r="C50" s="10" t="n">
        <v>126.57</v>
      </c>
    </row>
    <row r="51">
      <c r="A51" s="6" t="inlineStr">
        <is>
          <t xml:space="preserve">          Tax Paid Expense</t>
        </is>
      </c>
      <c r="B51" s="6" t="inlineStr">
        <is>
          <t/>
        </is>
      </c>
      <c r="C51" s="10" t="n">
        <v>2.8</v>
      </c>
    </row>
    <row r="52">
      <c r="A52" s="6" t="inlineStr">
        <is>
          <t xml:space="preserve">          4000-Business Expense</t>
        </is>
      </c>
      <c r="B52" s="6" t="inlineStr">
        <is>
          <t>4000</t>
        </is>
      </c>
      <c r="C52" s="10" t="n">
        <v>0.0</v>
      </c>
    </row>
    <row r="53">
      <c r="A53" s="6" t="inlineStr">
        <is>
          <t xml:space="preserve">                    4010-Advertise-n-Market</t>
        </is>
      </c>
      <c r="B53" s="6" t="inlineStr">
        <is>
          <t>4010</t>
        </is>
      </c>
      <c r="C53" s="10" t="n">
        <v>141.93</v>
      </c>
    </row>
    <row r="54">
      <c r="A54" s="6" t="inlineStr">
        <is>
          <t xml:space="preserve">                    4020-Car-Automobile</t>
        </is>
      </c>
      <c r="B54" s="6" t="inlineStr">
        <is>
          <t>4020</t>
        </is>
      </c>
      <c r="C54" s="10" t="n">
        <v>56.48</v>
      </c>
    </row>
    <row r="55">
      <c r="A55" s="6" t="inlineStr">
        <is>
          <t xml:space="preserve">                              4021-Car/Auto Insurance</t>
        </is>
      </c>
      <c r="B55" s="6" t="inlineStr">
        <is>
          <t>4021</t>
        </is>
      </c>
      <c r="C55" s="10" t="n">
        <v>1717.15</v>
      </c>
    </row>
    <row r="56">
      <c r="A56" s="6" t="inlineStr">
        <is>
          <t xml:space="preserve">                              4022-Fuel Charging</t>
        </is>
      </c>
      <c r="B56" s="6" t="inlineStr">
        <is>
          <t>4022</t>
        </is>
      </c>
      <c r="C56" s="10" t="n">
        <v>49.5</v>
      </c>
    </row>
    <row r="57">
      <c r="A57" s="6" t="inlineStr">
        <is>
          <t xml:space="preserve">                              4023-Supercharger</t>
        </is>
      </c>
      <c r="B57" s="6" t="inlineStr">
        <is>
          <t>4023</t>
        </is>
      </c>
      <c r="C57" s="10" t="n">
        <v>246.61</v>
      </c>
    </row>
    <row r="58">
      <c r="A58" s="25" t="inlineStr">
        <is>
          <t xml:space="preserve">                    Total for 4020-Car-Automobile</t>
        </is>
      </c>
      <c r="B58" t="inlineStr">
        <is>
          <t>4020</t>
        </is>
      </c>
      <c r="C58" s="4" t="n">
        <f>(+(C54)+(C55)+(C56)+(C57))</f>
        <v>0.0</v>
      </c>
    </row>
    <row r="60">
      <c r="A60" s="6" t="inlineStr">
        <is>
          <t xml:space="preserve">                    4103-Consult Fees</t>
        </is>
      </c>
      <c r="B60" s="6" t="inlineStr">
        <is>
          <t>4103</t>
        </is>
      </c>
      <c r="C60" s="10" t="n">
        <v>2950.13</v>
      </c>
    </row>
    <row r="61">
      <c r="A61" s="6" t="inlineStr">
        <is>
          <t xml:space="preserve">                    4200-Office Expense</t>
        </is>
      </c>
      <c r="B61" s="6" t="inlineStr">
        <is>
          <t>4200</t>
        </is>
      </c>
      <c r="C61" s="10" t="n">
        <v>568.19</v>
      </c>
    </row>
    <row r="62">
      <c r="A62" s="6" t="inlineStr">
        <is>
          <t xml:space="preserve">                              4201-Office Supplies</t>
        </is>
      </c>
      <c r="B62" s="6" t="inlineStr">
        <is>
          <t>4201</t>
        </is>
      </c>
      <c r="C62" s="10" t="n">
        <v>3881.3</v>
      </c>
    </row>
    <row r="63">
      <c r="A63" s="6" t="inlineStr">
        <is>
          <t xml:space="preserve">                                        4203-Software Subscription</t>
        </is>
      </c>
      <c r="B63" s="6" t="inlineStr">
        <is>
          <t>4203</t>
        </is>
      </c>
      <c r="C63" s="10" t="n">
        <v>2094.76</v>
      </c>
    </row>
    <row r="64">
      <c r="A64" s="25" t="inlineStr">
        <is>
          <t xml:space="preserve">                              Total for 4201-Office Supplies</t>
        </is>
      </c>
      <c r="B64" t="inlineStr">
        <is>
          <t>4201</t>
        </is>
      </c>
      <c r="C64" s="4" t="n">
        <f>(+(C62)+(C63))</f>
        <v>0.0</v>
      </c>
    </row>
    <row r="66">
      <c r="A66" s="6" t="inlineStr">
        <is>
          <t xml:space="preserve">                              4204-Janitorial</t>
        </is>
      </c>
      <c r="B66" s="6" t="inlineStr">
        <is>
          <t>4204</t>
        </is>
      </c>
      <c r="C66" s="10" t="n">
        <v>22.0</v>
      </c>
    </row>
    <row r="67">
      <c r="A67" s="25" t="inlineStr">
        <is>
          <t xml:space="preserve">                    Total for 4200-Office Expense</t>
        </is>
      </c>
      <c r="B67" t="inlineStr">
        <is>
          <t>4200</t>
        </is>
      </c>
      <c r="C67" s="4" t="n">
        <f>(+(C61)+(C64)+(C66))</f>
        <v>0.0</v>
      </c>
    </row>
    <row r="69">
      <c r="A69" s="6" t="inlineStr">
        <is>
          <t xml:space="preserve">                    4400-Rent-Office</t>
        </is>
      </c>
      <c r="B69" s="6" t="inlineStr">
        <is>
          <t>4400</t>
        </is>
      </c>
      <c r="C69" s="10" t="n">
        <v>823.69</v>
      </c>
    </row>
    <row r="70">
      <c r="A70" s="6" t="inlineStr">
        <is>
          <t xml:space="preserve">                    4700-Taxes-Licenses</t>
        </is>
      </c>
      <c r="B70" s="6" t="inlineStr">
        <is>
          <t>4700</t>
        </is>
      </c>
      <c r="C70" s="10" t="n">
        <v>-153.86</v>
      </c>
    </row>
    <row r="71">
      <c r="A71" s="6" t="inlineStr">
        <is>
          <t xml:space="preserve">                    4800-Travel Expense</t>
        </is>
      </c>
      <c r="B71" s="6" t="inlineStr">
        <is>
          <t>4800</t>
        </is>
      </c>
      <c r="C71" s="10" t="n">
        <v>3009.22</v>
      </c>
    </row>
    <row r="72">
      <c r="A72" s="6" t="inlineStr">
        <is>
          <t xml:space="preserve">                              4804-Deductible Meals</t>
        </is>
      </c>
      <c r="B72" s="6" t="inlineStr">
        <is>
          <t>4804</t>
        </is>
      </c>
      <c r="C72" s="10" t="n">
        <v>5427.84</v>
      </c>
    </row>
    <row r="73">
      <c r="A73" s="25" t="inlineStr">
        <is>
          <t xml:space="preserve">                    Total for 4800-Travel Expense</t>
        </is>
      </c>
      <c r="B73" t="inlineStr">
        <is>
          <t>4800</t>
        </is>
      </c>
      <c r="C73" s="4" t="n">
        <f>(+(C71)+(C72))</f>
        <v>0.0</v>
      </c>
    </row>
    <row r="75">
      <c r="A75" s="6" t="inlineStr">
        <is>
          <t xml:space="preserve">                    4903-Telephone Expense</t>
        </is>
      </c>
      <c r="B75" s="6" t="inlineStr">
        <is>
          <t>4903</t>
        </is>
      </c>
      <c r="C75" s="10" t="n">
        <v>299.24</v>
      </c>
    </row>
    <row r="76">
      <c r="A76" s="6" t="inlineStr">
        <is>
          <t xml:space="preserve">                    4904-IT and Internet Expenses</t>
        </is>
      </c>
      <c r="B76" s="6" t="inlineStr">
        <is>
          <t>4904</t>
        </is>
      </c>
      <c r="C76" s="10" t="n">
        <v>848.54</v>
      </c>
    </row>
    <row r="77">
      <c r="A77" s="6" t="inlineStr">
        <is>
          <t xml:space="preserve">                    5102-Postage</t>
        </is>
      </c>
      <c r="B77" s="6" t="inlineStr">
        <is>
          <t>5102</t>
        </is>
      </c>
      <c r="C77" s="10" t="n">
        <v>629.86</v>
      </c>
    </row>
    <row r="78">
      <c r="A78" s="25" t="inlineStr">
        <is>
          <t xml:space="preserve">          Total for 4000-Business Expense</t>
        </is>
      </c>
      <c r="B78" t="inlineStr">
        <is>
          <t>4000</t>
        </is>
      </c>
      <c r="C78" s="4" t="n">
        <f>(+(C52)+(C53)+(C58)+(C60)+(C67)+(C69)+(C70)+(C73)+(C75)+(C76)+(C77))</f>
        <v>0.0</v>
      </c>
    </row>
    <row r="80">
      <c r="A80" s="25" t="inlineStr">
        <is>
          <t>Total for Operating Expense</t>
        </is>
      </c>
      <c r="B80" t="inlineStr">
        <is>
          <t/>
        </is>
      </c>
      <c r="C80" s="4" t="n">
        <f>(+(C47)+(C49)+(C50)+(C51)+(C78))</f>
        <v>0.0</v>
      </c>
    </row>
    <row r="82">
      <c r="A82" s="4" t="inlineStr">
        <is>
          <t>Operating Profit</t>
        </is>
      </c>
      <c r="B82" t="inlineStr">
        <is>
          <t/>
        </is>
      </c>
      <c r="C82" s="4" t="n">
        <f>(((+(C5)+(C6)+(C7)+(C14)+(C16))-(+(C20)))-(+(C47)+(C49)+(C50)+(C51)+(C78)))</f>
        <v>0.0</v>
      </c>
    </row>
    <row r="84">
      <c r="A84" s="6" t="inlineStr">
        <is>
          <t>Non Operating Income</t>
        </is>
      </c>
      <c r="B84" s="6" t="inlineStr">
        <is>
          <t/>
        </is>
      </c>
      <c r="C84" t="inlineStr">
        <is>
          <t/>
        </is>
      </c>
    </row>
    <row r="85">
      <c r="A85" s="25" t="inlineStr">
        <is>
          <t>Total for Non Operating Income</t>
        </is>
      </c>
      <c r="B85" t="inlineStr">
        <is>
          <t/>
        </is>
      </c>
      <c r="C85" s="4" t="n">
        <v>0.0</v>
      </c>
    </row>
    <row r="87">
      <c r="A87" s="6" t="inlineStr">
        <is>
          <t>Non Operating Expense</t>
        </is>
      </c>
      <c r="B87" s="6" t="inlineStr">
        <is>
          <t/>
        </is>
      </c>
      <c r="C87" t="inlineStr">
        <is>
          <t/>
        </is>
      </c>
    </row>
    <row r="88">
      <c r="A88" s="6" t="inlineStr">
        <is>
          <t xml:space="preserve">          5105P-Dues and Subscriptions</t>
        </is>
      </c>
      <c r="B88" s="6" t="inlineStr">
        <is>
          <t>5105P</t>
        </is>
      </c>
      <c r="C88" s="10" t="n">
        <v>1360.32</v>
      </c>
    </row>
    <row r="89">
      <c r="A89" s="25" t="inlineStr">
        <is>
          <t>Total for Non Operating Expense</t>
        </is>
      </c>
      <c r="B89" t="inlineStr">
        <is>
          <t/>
        </is>
      </c>
      <c r="C89" s="4" t="n">
        <f>(+(C88))</f>
        <v>0.0</v>
      </c>
    </row>
    <row r="91">
      <c r="A91" s="4" t="inlineStr">
        <is>
          <t>Net Profit/Loss</t>
        </is>
      </c>
      <c r="B91" t="inlineStr">
        <is>
          <t/>
        </is>
      </c>
      <c r="C91" s="4" t="n">
        <f>((((+(C5)+(C6)+(C7)+(C14)+(C16))-(+(C20)))-(+(C47)+(C49)+(C50)+(C51)+(C78)))+C85-(+(C88)))</f>
        <v>0.0</v>
      </c>
    </row>
    <row r="92">
      <c r="A92" s="12" t="inlineStr">
        <is>
          <t/>
        </is>
      </c>
    </row>
  </sheetData>
  <mergeCells count="2">
    <mergeCell ref="A1:C1"/>
    <mergeCell ref="A92:C9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2024-10-31T02:54:22Z</dcterms:created>
  <dc:creator>Apache POI</dc:creator>
</cp:coreProperties>
</file>